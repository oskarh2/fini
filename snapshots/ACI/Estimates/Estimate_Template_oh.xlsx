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/>
  <mc:AlternateContent xmlns:mc="http://schemas.openxmlformats.org/markup-compatibility/2006">
    <mc:Choice Requires="x15">
      <x15ac:absPath xmlns:x15ac="http://schemas.microsoft.com/office/spreadsheetml/2010/11/ac" url="https://aciww-my.sharepoint.com/personal/oscar_herrera_aciworldwide_com/Documents/Documents/SSB/Estimates/"/>
    </mc:Choice>
  </mc:AlternateContent>
  <xr:revisionPtr revIDLastSave="2" documentId="8_{797D012E-1432-4217-9B68-50668BC2BF59}" xr6:coauthVersionLast="47" xr6:coauthVersionMax="47" xr10:uidLastSave="{33EE8558-7A1C-445A-918E-A225778D075B}"/>
  <bookViews>
    <workbookView xWindow="1665" yWindow="270" windowWidth="27855" windowHeight="11970" xr2:uid="{00000000-000D-0000-FFFF-FFFF00000000}"/>
  </bookViews>
  <sheets>
    <sheet name="Intercompany" sheetId="1" r:id="rId1"/>
    <sheet name="New SSB" sheetId="2" r:id="rId2"/>
    <sheet name="Sheet3" sheetId="3" r:id="rId3"/>
    <sheet name="Sheet4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3" l="1"/>
  <c r="C24" i="2"/>
  <c r="G23" i="2"/>
  <c r="F23" i="2"/>
  <c r="E23" i="2"/>
  <c r="D23" i="2"/>
  <c r="C23" i="2"/>
  <c r="G22" i="2"/>
  <c r="F22" i="2"/>
  <c r="E22" i="2"/>
  <c r="D22" i="2"/>
  <c r="C22" i="2"/>
  <c r="G21" i="2"/>
  <c r="F21" i="2"/>
  <c r="E21" i="2"/>
  <c r="D21" i="2"/>
  <c r="C21" i="2"/>
  <c r="G20" i="2"/>
  <c r="F20" i="2"/>
  <c r="E20" i="2"/>
  <c r="D20" i="2"/>
  <c r="C20" i="2"/>
  <c r="G19" i="2"/>
  <c r="F19" i="2"/>
  <c r="E19" i="2"/>
  <c r="D19" i="2"/>
  <c r="C19" i="2"/>
  <c r="G18" i="2"/>
  <c r="F18" i="2"/>
  <c r="E18" i="2"/>
  <c r="D18" i="2"/>
  <c r="C18" i="2"/>
  <c r="G17" i="2"/>
  <c r="F17" i="2"/>
  <c r="E17" i="2"/>
  <c r="D17" i="2"/>
  <c r="C17" i="2"/>
  <c r="G16" i="2"/>
  <c r="G24" i="2" s="1"/>
  <c r="F16" i="2"/>
  <c r="E16" i="2"/>
  <c r="E24" i="2" s="1"/>
  <c r="D16" i="2"/>
  <c r="D24" i="2" s="1"/>
  <c r="C16" i="2"/>
  <c r="G21" i="1"/>
  <c r="F21" i="1"/>
  <c r="E21" i="1"/>
  <c r="D21" i="1"/>
  <c r="G20" i="1"/>
  <c r="F20" i="1"/>
  <c r="E20" i="1"/>
  <c r="D20" i="1"/>
  <c r="C21" i="1"/>
  <c r="C20" i="1"/>
  <c r="G23" i="1"/>
  <c r="F23" i="1"/>
  <c r="E23" i="1"/>
  <c r="D23" i="1"/>
  <c r="C23" i="1"/>
  <c r="G22" i="1"/>
  <c r="F22" i="1"/>
  <c r="E22" i="1"/>
  <c r="D22" i="1"/>
  <c r="C22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F24" i="2" l="1"/>
  <c r="C25" i="2" s="1"/>
  <c r="C27" i="2" s="1"/>
  <c r="G24" i="1"/>
  <c r="F24" i="1"/>
  <c r="E24" i="1"/>
  <c r="D24" i="1"/>
  <c r="C24" i="1"/>
  <c r="C25" i="1" l="1"/>
  <c r="C27" i="1" s="1"/>
</calcChain>
</file>

<file path=xl/sharedStrings.xml><?xml version="1.0" encoding="utf-8"?>
<sst xmlns="http://schemas.openxmlformats.org/spreadsheetml/2006/main" count="100" uniqueCount="56">
  <si>
    <t>Solution Planning</t>
  </si>
  <si>
    <t>Plan &amp; Design</t>
  </si>
  <si>
    <t>Implement</t>
  </si>
  <si>
    <t>Build &amp; Test</t>
  </si>
  <si>
    <t>Business Analyst</t>
  </si>
  <si>
    <t>Solution Architect</t>
  </si>
  <si>
    <t>Project Manager</t>
  </si>
  <si>
    <t>Quality Analyst</t>
  </si>
  <si>
    <t>Project Meetings (All)</t>
  </si>
  <si>
    <t>Infrastructure Technical Consultant</t>
  </si>
  <si>
    <t>Enter Number of weeks</t>
  </si>
  <si>
    <t>Hours/Week</t>
  </si>
  <si>
    <t>Enter Allocations</t>
  </si>
  <si>
    <t>Project Activities</t>
  </si>
  <si>
    <t>SUB TOTAL</t>
  </si>
  <si>
    <t>TOTAL (LOW)</t>
  </si>
  <si>
    <t>TOTAL (HIGH)</t>
  </si>
  <si>
    <t>Enter Contingency (Confidence level)</t>
  </si>
  <si>
    <t>Enter Assumptions:</t>
  </si>
  <si>
    <t>Project Phase</t>
  </si>
  <si>
    <t>Attend internal project team meetings, Attend customer project team meetings, Attend executive steering meetings</t>
  </si>
  <si>
    <t>Support Customer Installation &amp; Configuration in up to 4 environments (Test, Cert, Prod, HA) for x weeks, Support Customer Testing in up to 4 environments (Test, Cert, Prod, HA) for x weeks, Review Customer go-live / roll-back plan, Support on-the-night-go-live, Support post-prod stabilization, Prepare HELP24 handover document, Handover to HELP24, Close project code</t>
  </si>
  <si>
    <t>Review SoW, Setup Project code, Internal Project Kickoff, Customer Project Kickoff, Validate customer H/W &amp; S/W requirements, Deliver application licenses</t>
  </si>
  <si>
    <t>Participate in a business assessment workshop to gather detailed requirements, Document Solution Detail Document (SDD),  Develop Project Plan, Review Customer Test Plan, Develop Internal Test Plan, Obtain Sign off of SDD &amp; Test Plans</t>
  </si>
  <si>
    <t>Technical Consultant (MTS)</t>
  </si>
  <si>
    <t>Technical Consultant (UPF)</t>
  </si>
  <si>
    <t>Application Configuration (MTS)</t>
  </si>
  <si>
    <t>Setup internal server, Install &amp; configure application in an internal environment, Build Configuration, Unit Test the application setup &amp; Configuration, end-to-end test the setup &amp; configuration, Fix cases, Re-test, Compile software package, Deliver package, Update SDD</t>
  </si>
  <si>
    <t>ABA</t>
  </si>
  <si>
    <t>deliver internal code MTS</t>
  </si>
  <si>
    <t>Task Name</t>
  </si>
  <si>
    <t>ACI Configurations (UPF/APP)</t>
  </si>
  <si>
    <t xml:space="preserve">   ACI Internal UPF Config</t>
  </si>
  <si>
    <t xml:space="preserve">   Milestone:- Configuration Completed</t>
  </si>
  <si>
    <t>Testing</t>
  </si>
  <si>
    <t xml:space="preserve">   Configure MTS QA Environment</t>
  </si>
  <si>
    <t xml:space="preserve">   Connectivity Testing (E2E)</t>
  </si>
  <si>
    <t xml:space="preserve">   Create test scripts</t>
  </si>
  <si>
    <t xml:space="preserve">   Review Test Scripts</t>
  </si>
  <si>
    <t xml:space="preserve">   QA Testing</t>
  </si>
  <si>
    <t>Delivery</t>
  </si>
  <si>
    <t xml:space="preserve">   Delivery of MTS Configuration (Config Express) </t>
  </si>
  <si>
    <t xml:space="preserve">   Deploy at TFC</t>
  </si>
  <si>
    <t xml:space="preserve">   Milestone:- TFC Build Completed</t>
  </si>
  <si>
    <t xml:space="preserve"> </t>
  </si>
  <si>
    <t>sep1-sep 5</t>
  </si>
  <si>
    <t>sep8-sep 12</t>
  </si>
  <si>
    <t>sep 15-sep 19</t>
  </si>
  <si>
    <t>Sep22-sep 26</t>
  </si>
  <si>
    <t>sep 29- Oct 3</t>
  </si>
  <si>
    <t>New SSB Transact lines &amp; New Tran Codes</t>
  </si>
  <si>
    <t>SPRINT 9</t>
  </si>
  <si>
    <t>SPRINT10</t>
  </si>
  <si>
    <t>SPRINT 11</t>
  </si>
  <si>
    <t>SPRINT 12</t>
  </si>
  <si>
    <t>SPRINT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</si>
</sst>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C234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2" fillId="0" borderId="0" xfId="0" applyFont="1"/>
    <xf numFmtId="0" fontId="1" fillId="0" borderId="10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6" xfId="0" applyFont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3" borderId="0" xfId="0" applyFill="1" applyAlignment="1">
      <alignment horizontal="right"/>
    </xf>
    <xf numFmtId="0" fontId="0" fillId="3" borderId="7" xfId="0" applyFill="1" applyBorder="1"/>
    <xf numFmtId="0" fontId="0" fillId="0" borderId="10" xfId="0" applyBorder="1"/>
    <xf numFmtId="0" fontId="1" fillId="0" borderId="1" xfId="0" applyFont="1" applyBorder="1" applyAlignment="1">
      <alignment horizontal="center"/>
    </xf>
    <xf numFmtId="0" fontId="0" fillId="0" borderId="17" xfId="0" applyBorder="1" applyAlignment="1">
      <alignment horizontal="left" wrapText="1"/>
    </xf>
    <xf numFmtId="0" fontId="0" fillId="2" borderId="17" xfId="0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9" fontId="0" fillId="2" borderId="13" xfId="0" applyNumberFormat="1" applyFill="1" applyBorder="1" applyAlignment="1">
      <alignment horizontal="center" wrapText="1"/>
    </xf>
    <xf numFmtId="9" fontId="0" fillId="2" borderId="14" xfId="0" applyNumberFormat="1" applyFill="1" applyBorder="1" applyAlignment="1">
      <alignment horizontal="center" wrapText="1"/>
    </xf>
    <xf numFmtId="9" fontId="0" fillId="2" borderId="15" xfId="0" applyNumberForma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4" borderId="0" xfId="0" applyFill="1"/>
    <xf numFmtId="0" fontId="4" fillId="5" borderId="19" xfId="0" applyFont="1" applyFill="1" applyBorder="1" applyAlignment="1">
      <alignment vertical="center" wrapText="1"/>
    </xf>
    <xf numFmtId="0" fontId="5" fillId="6" borderId="19" xfId="0" applyFont="1" applyFill="1" applyBorder="1" applyAlignment="1">
      <alignment vertical="center" wrapText="1"/>
    </xf>
    <xf numFmtId="0" fontId="6" fillId="7" borderId="19" xfId="0" applyFont="1" applyFill="1" applyBorder="1" applyAlignment="1">
      <alignment vertical="center" wrapText="1"/>
    </xf>
    <xf numFmtId="16" fontId="0" fillId="0" borderId="0" xfId="0" applyNumberFormat="1"/>
    <xf numFmtId="0" fontId="5" fillId="6" borderId="20" xfId="0" applyFont="1" applyFill="1" applyBorder="1" applyAlignment="1">
      <alignment vertical="center" wrapText="1"/>
    </xf>
    <xf numFmtId="0" fontId="5" fillId="6" borderId="22" xfId="0" applyFont="1" applyFill="1" applyBorder="1" applyAlignment="1">
      <alignment vertical="center" wrapText="1"/>
    </xf>
    <xf numFmtId="0" fontId="6" fillId="7" borderId="21" xfId="0" applyFont="1" applyFill="1" applyBorder="1" applyAlignment="1">
      <alignment vertical="center" wrapText="1"/>
    </xf>
    <xf numFmtId="0" fontId="0" fillId="0" borderId="21" xfId="0" applyBorder="1"/>
    <xf numFmtId="0" fontId="1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1"/>
                </a:solidFill>
              </a:rPr>
              <a:t>Stories</a:t>
            </a:r>
            <a:r>
              <a:rPr lang="en-US" sz="1600" b="1" baseline="0">
                <a:solidFill>
                  <a:schemeClr val="accent1"/>
                </a:solidFill>
              </a:rPr>
              <a:t> by Sprint</a:t>
            </a:r>
            <a:endParaRPr lang="en-US" sz="1600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35607085346215772"/>
          <c:y val="4.002502351864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Sheet3!$M$5:$M$9</c:f>
              <c:strCache>
                <c:ptCount val="5"/>
                <c:pt idx="0">
                  <c:v>SPRINT 9</c:v>
                </c:pt>
                <c:pt idx="1">
                  <c:v>SPRINT10</c:v>
                </c:pt>
                <c:pt idx="2">
                  <c:v>SPRINT 11</c:v>
                </c:pt>
                <c:pt idx="3">
                  <c:v>SPRINT 12</c:v>
                </c:pt>
                <c:pt idx="4">
                  <c:v>SPRINT 13</c:v>
                </c:pt>
              </c:strCache>
            </c:strRef>
          </c:cat>
          <c:val>
            <c:numRef>
              <c:f>Sheet3!$N$5:$N$9</c:f>
              <c:numCache>
                <c:formatCode>General</c:formatCode>
                <c:ptCount val="5"/>
                <c:pt idx="0">
                  <c:v>11</c:v>
                </c:pt>
                <c:pt idx="1">
                  <c:v>4</c:v>
                </c:pt>
                <c:pt idx="2">
                  <c:v>7</c:v>
                </c:pt>
                <c:pt idx="3">
                  <c:v>8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3-4704-AAF3-BA880919E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324671"/>
        <c:axId val="1209330911"/>
      </c:lineChart>
      <c:catAx>
        <c:axId val="120932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330911"/>
        <c:crosses val="autoZero"/>
        <c:auto val="1"/>
        <c:lblAlgn val="ctr"/>
        <c:lblOffset val="100"/>
        <c:noMultiLvlLbl val="0"/>
      </c:catAx>
      <c:valAx>
        <c:axId val="120933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32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2</xdr:row>
      <xdr:rowOff>0</xdr:rowOff>
    </xdr:from>
    <xdr:to>
      <xdr:col>9</xdr:col>
      <xdr:colOff>123825</xdr:colOff>
      <xdr:row>33</xdr:row>
      <xdr:rowOff>25900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395380-CBC9-6097-C794-78D16E5C4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599" y="381000"/>
          <a:ext cx="5000626" cy="5931400"/>
        </a:xfrm>
        <a:prstGeom prst="rect">
          <a:avLst/>
        </a:prstGeom>
      </xdr:spPr>
    </xdr:pic>
    <xdr:clientData/>
  </xdr:twoCellAnchor>
  <xdr:twoCellAnchor>
    <xdr:from>
      <xdr:col>10</xdr:col>
      <xdr:colOff>495299</xdr:colOff>
      <xdr:row>13</xdr:row>
      <xdr:rowOff>76200</xdr:rowOff>
    </xdr:from>
    <xdr:to>
      <xdr:col>20</xdr:col>
      <xdr:colOff>314324</xdr:colOff>
      <xdr:row>26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FA6736-9C43-595B-4ECB-2767770D0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222250</xdr:colOff>
      <xdr:row>13</xdr:row>
      <xdr:rowOff>73756</xdr:rowOff>
    </xdr:from>
    <xdr:to>
      <xdr:col>6</xdr:col>
      <xdr:colOff>565149</xdr:colOff>
      <xdr:row>15</xdr:row>
      <xdr:rowOff>134937</xdr:rowOff>
    </xdr:to>
    <xdr:pic>
      <xdr:nvPicPr>
        <xdr:cNvPr id="3" name="Picture 2" descr="Red Pin Clip Art at Clker.com - vector clip art online, royalty free &amp;  public domain">
          <a:extLst>
            <a:ext uri="{FF2B5EF4-FFF2-40B4-BE49-F238E27FC236}">
              <a16:creationId xmlns:a16="http://schemas.microsoft.com/office/drawing/2014/main" id="{7AD6184F-11D9-DF8D-F4A8-4E2348A96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063" y="3121756"/>
          <a:ext cx="342899" cy="442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144463</xdr:colOff>
      <xdr:row>2</xdr:row>
      <xdr:rowOff>83281</xdr:rowOff>
    </xdr:from>
    <xdr:to>
      <xdr:col>2</xdr:col>
      <xdr:colOff>487362</xdr:colOff>
      <xdr:row>4</xdr:row>
      <xdr:rowOff>144462</xdr:rowOff>
    </xdr:to>
    <xdr:pic>
      <xdr:nvPicPr>
        <xdr:cNvPr id="4" name="Picture 3" descr="Red Pin Clip Art at Clker.com - vector clip art online, royalty free &amp;  public domain">
          <a:extLst>
            <a:ext uri="{FF2B5EF4-FFF2-40B4-BE49-F238E27FC236}">
              <a16:creationId xmlns:a16="http://schemas.microsoft.com/office/drawing/2014/main" id="{D65FA326-1919-4CB2-B419-DDDBF1586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4026" y="464281"/>
          <a:ext cx="342899" cy="442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801687</xdr:colOff>
      <xdr:row>3</xdr:row>
      <xdr:rowOff>103188</xdr:rowOff>
    </xdr:from>
    <xdr:to>
      <xdr:col>3</xdr:col>
      <xdr:colOff>271461</xdr:colOff>
      <xdr:row>5</xdr:row>
      <xdr:rowOff>164369</xdr:rowOff>
    </xdr:to>
    <xdr:pic>
      <xdr:nvPicPr>
        <xdr:cNvPr id="5" name="Picture 4" descr="Red Pin Clip Art at Clker.com - vector clip art online, royalty free &amp;  public domain">
          <a:extLst>
            <a:ext uri="{FF2B5EF4-FFF2-40B4-BE49-F238E27FC236}">
              <a16:creationId xmlns:a16="http://schemas.microsoft.com/office/drawing/2014/main" id="{4E4AE767-5ADE-4533-A3CC-1B0B3A921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1250" y="674688"/>
          <a:ext cx="342899" cy="442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557213</xdr:colOff>
      <xdr:row>5</xdr:row>
      <xdr:rowOff>168275</xdr:rowOff>
    </xdr:from>
    <xdr:to>
      <xdr:col>3</xdr:col>
      <xdr:colOff>900112</xdr:colOff>
      <xdr:row>7</xdr:row>
      <xdr:rowOff>229456</xdr:rowOff>
    </xdr:to>
    <xdr:pic>
      <xdr:nvPicPr>
        <xdr:cNvPr id="6" name="Picture 5" descr="Red Pin Clip Art at Clker.com - vector clip art online, royalty free &amp;  public domain">
          <a:extLst>
            <a:ext uri="{FF2B5EF4-FFF2-40B4-BE49-F238E27FC236}">
              <a16:creationId xmlns:a16="http://schemas.microsoft.com/office/drawing/2014/main" id="{D39CB17E-950A-47F4-82FC-183A63830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9901" y="1120775"/>
          <a:ext cx="342899" cy="442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1</xdr:rowOff>
    </xdr:from>
    <xdr:to>
      <xdr:col>4</xdr:col>
      <xdr:colOff>342899</xdr:colOff>
      <xdr:row>9</xdr:row>
      <xdr:rowOff>349251</xdr:rowOff>
    </xdr:to>
    <xdr:pic>
      <xdr:nvPicPr>
        <xdr:cNvPr id="7" name="Picture 6" descr="Red Pin Clip Art at Clker.com - vector clip art online, royalty free &amp;  public domain">
          <a:extLst>
            <a:ext uri="{FF2B5EF4-FFF2-40B4-BE49-F238E27FC236}">
              <a16:creationId xmlns:a16="http://schemas.microsoft.com/office/drawing/2014/main" id="{56D20333-1764-4ADE-B669-158A2BDA7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3438" y="1905001"/>
          <a:ext cx="342899" cy="34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9"/>
  <sheetViews>
    <sheetView tabSelected="1" zoomScale="110" zoomScaleNormal="110" workbookViewId="0">
      <selection activeCell="G4" sqref="G4"/>
    </sheetView>
  </sheetViews>
  <sheetFormatPr defaultColWidth="9" defaultRowHeight="15" x14ac:dyDescent="0.25"/>
  <cols>
    <col min="1" max="1" width="11.42578125" customWidth="1"/>
    <col min="2" max="2" width="38.5703125" customWidth="1"/>
    <col min="3" max="3" width="22.140625" customWidth="1"/>
    <col min="4" max="4" width="24" customWidth="1"/>
    <col min="5" max="5" width="33" customWidth="1"/>
    <col min="6" max="6" width="38.5703125" customWidth="1"/>
    <col min="7" max="7" width="41.42578125" customWidth="1"/>
  </cols>
  <sheetData>
    <row r="2" spans="1:7" ht="15.75" thickBot="1" x14ac:dyDescent="0.3">
      <c r="B2" s="28" t="s">
        <v>28</v>
      </c>
    </row>
    <row r="3" spans="1:7" ht="15.75" thickBot="1" x14ac:dyDescent="0.3">
      <c r="B3" s="19" t="s">
        <v>19</v>
      </c>
      <c r="C3" s="20" t="s">
        <v>8</v>
      </c>
      <c r="D3" s="20" t="s">
        <v>0</v>
      </c>
      <c r="E3" s="20" t="s">
        <v>1</v>
      </c>
      <c r="F3" s="20" t="s">
        <v>3</v>
      </c>
      <c r="G3" s="20" t="s">
        <v>2</v>
      </c>
    </row>
    <row r="4" spans="1:7" ht="136.9" customHeight="1" thickBot="1" x14ac:dyDescent="0.3">
      <c r="B4" s="3" t="s">
        <v>13</v>
      </c>
      <c r="C4" s="21" t="s">
        <v>20</v>
      </c>
      <c r="D4" s="21" t="s">
        <v>22</v>
      </c>
      <c r="E4" s="21" t="s">
        <v>23</v>
      </c>
      <c r="F4" s="21" t="s">
        <v>27</v>
      </c>
      <c r="G4" s="21" t="s">
        <v>21</v>
      </c>
    </row>
    <row r="5" spans="1:7" ht="14.45" customHeight="1" thickBot="1" x14ac:dyDescent="0.3">
      <c r="B5" s="18" t="s">
        <v>10</v>
      </c>
      <c r="C5" s="22">
        <v>1</v>
      </c>
      <c r="D5" s="22">
        <v>1</v>
      </c>
      <c r="E5" s="22">
        <v>2</v>
      </c>
      <c r="F5" s="22">
        <v>4</v>
      </c>
      <c r="G5" s="22">
        <v>2</v>
      </c>
    </row>
    <row r="6" spans="1:7" ht="14.45" customHeight="1" thickBot="1" x14ac:dyDescent="0.3">
      <c r="B6" s="4" t="s">
        <v>11</v>
      </c>
      <c r="C6" s="23">
        <v>40</v>
      </c>
      <c r="D6" s="23">
        <v>40</v>
      </c>
      <c r="E6" s="23">
        <v>40</v>
      </c>
      <c r="F6" s="23">
        <v>40</v>
      </c>
      <c r="G6" s="23">
        <v>40</v>
      </c>
    </row>
    <row r="7" spans="1:7" ht="16.149999999999999" customHeight="1" x14ac:dyDescent="0.25">
      <c r="A7" s="40" t="s">
        <v>12</v>
      </c>
      <c r="B7" s="1" t="s">
        <v>9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</row>
    <row r="8" spans="1:7" x14ac:dyDescent="0.25">
      <c r="A8" s="40"/>
      <c r="B8" s="2" t="s">
        <v>4</v>
      </c>
      <c r="C8" s="25">
        <v>0</v>
      </c>
      <c r="D8" s="25">
        <v>0</v>
      </c>
      <c r="E8" s="25">
        <v>0</v>
      </c>
      <c r="F8" s="25">
        <v>0</v>
      </c>
      <c r="G8" s="25">
        <v>0</v>
      </c>
    </row>
    <row r="9" spans="1:7" x14ac:dyDescent="0.25">
      <c r="A9" s="40"/>
      <c r="B9" s="2" t="s">
        <v>5</v>
      </c>
      <c r="C9" s="25">
        <v>0.8</v>
      </c>
      <c r="D9" s="25">
        <v>0.8</v>
      </c>
      <c r="E9" s="25">
        <v>0.5</v>
      </c>
      <c r="F9" s="25">
        <v>0</v>
      </c>
      <c r="G9" s="25">
        <v>0</v>
      </c>
    </row>
    <row r="10" spans="1:7" x14ac:dyDescent="0.25">
      <c r="A10" s="40"/>
      <c r="B10" s="2" t="s">
        <v>24</v>
      </c>
      <c r="C10" s="25">
        <v>0.1</v>
      </c>
      <c r="D10" s="25">
        <v>0.2</v>
      </c>
      <c r="E10" s="25">
        <v>0.2</v>
      </c>
      <c r="F10" s="25">
        <v>0</v>
      </c>
      <c r="G10" s="25">
        <v>0</v>
      </c>
    </row>
    <row r="11" spans="1:7" x14ac:dyDescent="0.25">
      <c r="A11" s="40"/>
      <c r="B11" s="2" t="s">
        <v>25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</row>
    <row r="12" spans="1:7" x14ac:dyDescent="0.25">
      <c r="A12" s="40"/>
      <c r="B12" s="2" t="s">
        <v>26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</row>
    <row r="13" spans="1:7" x14ac:dyDescent="0.25">
      <c r="A13" s="40"/>
      <c r="B13" s="2" t="s">
        <v>7</v>
      </c>
      <c r="C13" s="25">
        <v>0</v>
      </c>
      <c r="D13" s="25">
        <v>0</v>
      </c>
      <c r="E13" s="25">
        <v>0</v>
      </c>
      <c r="F13" s="25">
        <v>0</v>
      </c>
      <c r="G13" s="25">
        <v>0.25</v>
      </c>
    </row>
    <row r="14" spans="1:7" ht="15.75" thickBot="1" x14ac:dyDescent="0.3">
      <c r="A14" s="40"/>
      <c r="B14" s="3" t="s">
        <v>6</v>
      </c>
      <c r="C14" s="26">
        <v>0.25</v>
      </c>
      <c r="D14" s="26">
        <v>0.25</v>
      </c>
      <c r="E14" s="26">
        <v>0.25</v>
      </c>
      <c r="F14" s="26">
        <v>0.25</v>
      </c>
      <c r="G14" s="26">
        <v>0.25</v>
      </c>
    </row>
    <row r="15" spans="1:7" ht="15.75" thickBot="1" x14ac:dyDescent="0.3"/>
    <row r="16" spans="1:7" x14ac:dyDescent="0.25">
      <c r="B16" s="1" t="s">
        <v>9</v>
      </c>
      <c r="C16" s="10">
        <f>C5*C6*C7</f>
        <v>0</v>
      </c>
      <c r="D16" s="10">
        <f>D5*D6*D7</f>
        <v>0</v>
      </c>
      <c r="E16" s="10">
        <f>E5*E6*E7</f>
        <v>0</v>
      </c>
      <c r="F16" s="10">
        <f>F5*F6*F7</f>
        <v>0</v>
      </c>
      <c r="G16" s="11">
        <f>G5*G6*G7</f>
        <v>0</v>
      </c>
    </row>
    <row r="17" spans="1:7" x14ac:dyDescent="0.25">
      <c r="B17" s="2" t="s">
        <v>4</v>
      </c>
      <c r="C17" s="27">
        <f>C5*C6*C8</f>
        <v>0</v>
      </c>
      <c r="D17" s="27">
        <f t="shared" ref="D17:G17" si="0">D5*D6*D8</f>
        <v>0</v>
      </c>
      <c r="E17" s="27">
        <f t="shared" si="0"/>
        <v>0</v>
      </c>
      <c r="F17" s="27">
        <f t="shared" si="0"/>
        <v>0</v>
      </c>
      <c r="G17" s="12">
        <f t="shared" si="0"/>
        <v>0</v>
      </c>
    </row>
    <row r="18" spans="1:7" x14ac:dyDescent="0.25">
      <c r="B18" s="2" t="s">
        <v>5</v>
      </c>
      <c r="C18" s="27">
        <f>C5*C6*C9</f>
        <v>32</v>
      </c>
      <c r="D18" s="27">
        <f t="shared" ref="D18:G18" si="1">D5*D6*D9</f>
        <v>32</v>
      </c>
      <c r="E18" s="27">
        <f t="shared" si="1"/>
        <v>40</v>
      </c>
      <c r="F18" s="27">
        <f t="shared" si="1"/>
        <v>0</v>
      </c>
      <c r="G18" s="12">
        <f t="shared" si="1"/>
        <v>0</v>
      </c>
    </row>
    <row r="19" spans="1:7" x14ac:dyDescent="0.25">
      <c r="B19" s="2" t="s">
        <v>24</v>
      </c>
      <c r="C19" s="27">
        <f>C5*C6*C10</f>
        <v>4</v>
      </c>
      <c r="D19" s="27">
        <f t="shared" ref="D19:G19" si="2">D5*D6*D10</f>
        <v>8</v>
      </c>
      <c r="E19" s="27">
        <f t="shared" si="2"/>
        <v>16</v>
      </c>
      <c r="F19" s="27">
        <f t="shared" si="2"/>
        <v>0</v>
      </c>
      <c r="G19" s="12">
        <f t="shared" si="2"/>
        <v>0</v>
      </c>
    </row>
    <row r="20" spans="1:7" x14ac:dyDescent="0.25">
      <c r="B20" s="2" t="s">
        <v>25</v>
      </c>
      <c r="C20" s="27">
        <f>C5*C6*C11</f>
        <v>0</v>
      </c>
      <c r="D20" s="27">
        <f t="shared" ref="D20:G20" si="3">D5*D6*D11</f>
        <v>0</v>
      </c>
      <c r="E20" s="27">
        <f t="shared" si="3"/>
        <v>0</v>
      </c>
      <c r="F20" s="27">
        <f t="shared" si="3"/>
        <v>0</v>
      </c>
      <c r="G20" s="12">
        <f t="shared" si="3"/>
        <v>0</v>
      </c>
    </row>
    <row r="21" spans="1:7" x14ac:dyDescent="0.25">
      <c r="B21" s="2" t="s">
        <v>26</v>
      </c>
      <c r="C21" s="27">
        <f>C5*C6*C12</f>
        <v>0</v>
      </c>
      <c r="D21" s="27">
        <f t="shared" ref="D21:G21" si="4">D5*D6*D12</f>
        <v>0</v>
      </c>
      <c r="E21" s="27">
        <f t="shared" si="4"/>
        <v>0</v>
      </c>
      <c r="F21" s="27">
        <f t="shared" si="4"/>
        <v>0</v>
      </c>
      <c r="G21" s="12">
        <f t="shared" si="4"/>
        <v>0</v>
      </c>
    </row>
    <row r="22" spans="1:7" x14ac:dyDescent="0.25">
      <c r="B22" s="2" t="s">
        <v>7</v>
      </c>
      <c r="C22" s="27">
        <f>C5*C6*C13</f>
        <v>0</v>
      </c>
      <c r="D22" s="27">
        <f t="shared" ref="D22:G22" si="5">D5*D6*D13</f>
        <v>0</v>
      </c>
      <c r="E22" s="27">
        <f t="shared" si="5"/>
        <v>0</v>
      </c>
      <c r="F22" s="27">
        <f t="shared" si="5"/>
        <v>0</v>
      </c>
      <c r="G22" s="12">
        <f t="shared" si="5"/>
        <v>20</v>
      </c>
    </row>
    <row r="23" spans="1:7" ht="15.75" thickBot="1" x14ac:dyDescent="0.3">
      <c r="B23" s="3" t="s">
        <v>6</v>
      </c>
      <c r="C23" s="13">
        <f>C5*C6*C14</f>
        <v>10</v>
      </c>
      <c r="D23" s="13">
        <f t="shared" ref="D23:G23" si="6">D5*D6*D14</f>
        <v>10</v>
      </c>
      <c r="E23" s="13">
        <f t="shared" si="6"/>
        <v>20</v>
      </c>
      <c r="F23" s="13">
        <f t="shared" si="6"/>
        <v>40</v>
      </c>
      <c r="G23" s="14">
        <f t="shared" si="6"/>
        <v>20</v>
      </c>
    </row>
    <row r="24" spans="1:7" ht="15.75" thickBot="1" x14ac:dyDescent="0.3">
      <c r="B24" s="5" t="s">
        <v>14</v>
      </c>
      <c r="C24" s="15">
        <f>SUM(C16:C23)</f>
        <v>46</v>
      </c>
      <c r="D24" s="15">
        <f>SUM(D16:D23)</f>
        <v>50</v>
      </c>
      <c r="E24" s="15">
        <f>SUM(E16:E23)</f>
        <v>76</v>
      </c>
      <c r="F24" s="15">
        <f>SUM(F16:F23)</f>
        <v>40</v>
      </c>
      <c r="G24" s="16">
        <f>SUM(G16:G23)</f>
        <v>40</v>
      </c>
    </row>
    <row r="25" spans="1:7" ht="15.75" thickBot="1" x14ac:dyDescent="0.3">
      <c r="B25" s="6" t="s">
        <v>15</v>
      </c>
      <c r="C25" s="7">
        <f>C24+D24+E24+F24+G24</f>
        <v>252</v>
      </c>
    </row>
    <row r="26" spans="1:7" ht="15.75" thickBot="1" x14ac:dyDescent="0.3">
      <c r="B26" s="17" t="s">
        <v>17</v>
      </c>
      <c r="C26" s="8">
        <v>0.25</v>
      </c>
    </row>
    <row r="27" spans="1:7" ht="15.75" thickBot="1" x14ac:dyDescent="0.3">
      <c r="B27" s="6" t="s">
        <v>16</v>
      </c>
      <c r="C27" s="9">
        <f>(C25*C26)+C25</f>
        <v>315</v>
      </c>
    </row>
    <row r="29" spans="1:7" x14ac:dyDescent="0.25">
      <c r="B29" s="41" t="s">
        <v>18</v>
      </c>
      <c r="C29" s="41"/>
      <c r="D29" s="41"/>
      <c r="E29" s="41"/>
      <c r="F29" s="41"/>
    </row>
    <row r="30" spans="1:7" x14ac:dyDescent="0.25">
      <c r="A30">
        <v>1</v>
      </c>
      <c r="B30" s="42"/>
      <c r="C30" s="42"/>
      <c r="D30" s="42"/>
      <c r="E30" s="42"/>
      <c r="F30" s="42"/>
    </row>
    <row r="31" spans="1:7" x14ac:dyDescent="0.25">
      <c r="A31">
        <v>2</v>
      </c>
      <c r="B31" s="39"/>
      <c r="C31" s="39"/>
      <c r="D31" s="39"/>
      <c r="E31" s="39"/>
      <c r="F31" s="39"/>
    </row>
    <row r="32" spans="1:7" x14ac:dyDescent="0.25">
      <c r="A32">
        <v>3</v>
      </c>
      <c r="B32" s="39"/>
      <c r="C32" s="39"/>
      <c r="D32" s="39"/>
      <c r="E32" s="39"/>
      <c r="F32" s="39"/>
    </row>
    <row r="33" spans="1:6" x14ac:dyDescent="0.25">
      <c r="A33">
        <v>4</v>
      </c>
      <c r="B33" s="39"/>
      <c r="C33" s="39"/>
      <c r="D33" s="39"/>
      <c r="E33" s="39"/>
      <c r="F33" s="39"/>
    </row>
    <row r="34" spans="1:6" x14ac:dyDescent="0.25">
      <c r="A34">
        <v>5</v>
      </c>
      <c r="B34" s="39"/>
      <c r="C34" s="39"/>
      <c r="D34" s="39"/>
      <c r="E34" s="39"/>
      <c r="F34" s="39"/>
    </row>
    <row r="35" spans="1:6" x14ac:dyDescent="0.25">
      <c r="A35">
        <v>6</v>
      </c>
      <c r="B35" s="39"/>
      <c r="C35" s="39"/>
      <c r="D35" s="39"/>
      <c r="E35" s="39"/>
      <c r="F35" s="39"/>
    </row>
    <row r="36" spans="1:6" x14ac:dyDescent="0.25">
      <c r="A36">
        <v>7</v>
      </c>
      <c r="B36" s="39"/>
      <c r="C36" s="39"/>
      <c r="D36" s="39"/>
      <c r="E36" s="39"/>
      <c r="F36" s="39"/>
    </row>
    <row r="37" spans="1:6" x14ac:dyDescent="0.25">
      <c r="A37">
        <v>8</v>
      </c>
      <c r="B37" s="39"/>
      <c r="C37" s="39"/>
      <c r="D37" s="39"/>
      <c r="E37" s="39"/>
      <c r="F37" s="39"/>
    </row>
    <row r="38" spans="1:6" x14ac:dyDescent="0.25">
      <c r="A38">
        <v>9</v>
      </c>
      <c r="B38" s="39"/>
      <c r="C38" s="39"/>
      <c r="D38" s="39"/>
      <c r="E38" s="39"/>
      <c r="F38" s="39"/>
    </row>
    <row r="39" spans="1:6" x14ac:dyDescent="0.25">
      <c r="A39">
        <v>10</v>
      </c>
      <c r="B39" s="39"/>
      <c r="C39" s="39"/>
      <c r="D39" s="39"/>
      <c r="E39" s="39"/>
      <c r="F39" s="39"/>
    </row>
  </sheetData>
  <mergeCells count="12">
    <mergeCell ref="A7:A14"/>
    <mergeCell ref="B29:F29"/>
    <mergeCell ref="B30:F30"/>
    <mergeCell ref="B31:F31"/>
    <mergeCell ref="B32:F32"/>
    <mergeCell ref="B39:F39"/>
    <mergeCell ref="B33:F33"/>
    <mergeCell ref="B34:F34"/>
    <mergeCell ref="B35:F35"/>
    <mergeCell ref="B36:F36"/>
    <mergeCell ref="B37:F37"/>
    <mergeCell ref="B38:F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2FAA-64F6-4759-80C2-453EC83E9797}">
  <dimension ref="A2:G39"/>
  <sheetViews>
    <sheetView topLeftCell="A2" zoomScale="110" zoomScaleNormal="110" workbookViewId="0">
      <selection activeCell="E5" sqref="E5"/>
    </sheetView>
  </sheetViews>
  <sheetFormatPr defaultColWidth="9" defaultRowHeight="15" x14ac:dyDescent="0.25"/>
  <cols>
    <col min="1" max="1" width="11.42578125" customWidth="1"/>
    <col min="2" max="2" width="38.5703125" customWidth="1"/>
    <col min="3" max="3" width="22.140625" customWidth="1"/>
    <col min="4" max="4" width="24" customWidth="1"/>
    <col min="5" max="5" width="33" customWidth="1"/>
    <col min="6" max="6" width="38.5703125" customWidth="1"/>
    <col min="7" max="7" width="41.42578125" customWidth="1"/>
  </cols>
  <sheetData>
    <row r="2" spans="1:7" ht="15.75" thickBot="1" x14ac:dyDescent="0.3">
      <c r="B2" s="38" t="s">
        <v>50</v>
      </c>
    </row>
    <row r="3" spans="1:7" ht="15.75" thickBot="1" x14ac:dyDescent="0.3">
      <c r="B3" s="19" t="s">
        <v>19</v>
      </c>
      <c r="C3" s="20" t="s">
        <v>8</v>
      </c>
      <c r="D3" s="20" t="s">
        <v>0</v>
      </c>
      <c r="E3" s="20" t="s">
        <v>1</v>
      </c>
      <c r="F3" s="20" t="s">
        <v>3</v>
      </c>
      <c r="G3" s="20" t="s">
        <v>2</v>
      </c>
    </row>
    <row r="4" spans="1:7" ht="136.9" customHeight="1" thickBot="1" x14ac:dyDescent="0.3">
      <c r="B4" s="3" t="s">
        <v>13</v>
      </c>
      <c r="C4" s="21" t="s">
        <v>20</v>
      </c>
      <c r="D4" s="21" t="s">
        <v>22</v>
      </c>
      <c r="E4" s="21" t="s">
        <v>23</v>
      </c>
      <c r="F4" s="21" t="s">
        <v>27</v>
      </c>
      <c r="G4" s="21" t="s">
        <v>21</v>
      </c>
    </row>
    <row r="5" spans="1:7" ht="14.45" customHeight="1" thickBot="1" x14ac:dyDescent="0.3">
      <c r="B5" s="18" t="s">
        <v>10</v>
      </c>
      <c r="C5" s="22">
        <v>1</v>
      </c>
      <c r="D5" s="22">
        <v>1</v>
      </c>
      <c r="E5" s="22">
        <v>2</v>
      </c>
      <c r="F5" s="22">
        <v>4</v>
      </c>
      <c r="G5" s="22">
        <v>2</v>
      </c>
    </row>
    <row r="6" spans="1:7" ht="14.45" customHeight="1" thickBot="1" x14ac:dyDescent="0.3">
      <c r="B6" s="4" t="s">
        <v>11</v>
      </c>
      <c r="C6" s="23">
        <v>40</v>
      </c>
      <c r="D6" s="23">
        <v>40</v>
      </c>
      <c r="E6" s="23">
        <v>40</v>
      </c>
      <c r="F6" s="23">
        <v>40</v>
      </c>
      <c r="G6" s="23">
        <v>40</v>
      </c>
    </row>
    <row r="7" spans="1:7" ht="16.149999999999999" customHeight="1" x14ac:dyDescent="0.25">
      <c r="A7" s="40" t="s">
        <v>12</v>
      </c>
      <c r="B7" s="1" t="s">
        <v>9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</row>
    <row r="8" spans="1:7" x14ac:dyDescent="0.25">
      <c r="A8" s="40"/>
      <c r="B8" s="2" t="s">
        <v>4</v>
      </c>
      <c r="C8" s="25">
        <v>0</v>
      </c>
      <c r="D8" s="25">
        <v>0</v>
      </c>
      <c r="E8" s="25">
        <v>0</v>
      </c>
      <c r="F8" s="25">
        <v>0</v>
      </c>
      <c r="G8" s="25">
        <v>0</v>
      </c>
    </row>
    <row r="9" spans="1:7" x14ac:dyDescent="0.25">
      <c r="A9" s="40"/>
      <c r="B9" s="2" t="s">
        <v>5</v>
      </c>
      <c r="C9" s="25">
        <v>0.8</v>
      </c>
      <c r="D9" s="25">
        <v>0.8</v>
      </c>
      <c r="E9" s="25">
        <v>0.5</v>
      </c>
      <c r="F9" s="25">
        <v>0</v>
      </c>
      <c r="G9" s="25">
        <v>0</v>
      </c>
    </row>
    <row r="10" spans="1:7" x14ac:dyDescent="0.25">
      <c r="A10" s="40"/>
      <c r="B10" s="2" t="s">
        <v>24</v>
      </c>
      <c r="C10" s="25">
        <v>0.1</v>
      </c>
      <c r="D10" s="25">
        <v>0.2</v>
      </c>
      <c r="E10" s="25">
        <v>0.2</v>
      </c>
      <c r="F10" s="25">
        <v>0</v>
      </c>
      <c r="G10" s="25">
        <v>0</v>
      </c>
    </row>
    <row r="11" spans="1:7" x14ac:dyDescent="0.25">
      <c r="A11" s="40"/>
      <c r="B11" s="2" t="s">
        <v>25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</row>
    <row r="12" spans="1:7" x14ac:dyDescent="0.25">
      <c r="A12" s="40"/>
      <c r="B12" s="2" t="s">
        <v>26</v>
      </c>
      <c r="C12" s="25">
        <v>0</v>
      </c>
      <c r="D12" s="25">
        <v>0</v>
      </c>
      <c r="E12" s="25">
        <v>0</v>
      </c>
      <c r="F12" s="25">
        <v>0.5</v>
      </c>
      <c r="G12" s="25">
        <v>0</v>
      </c>
    </row>
    <row r="13" spans="1:7" x14ac:dyDescent="0.25">
      <c r="A13" s="40"/>
      <c r="B13" s="2" t="s">
        <v>7</v>
      </c>
      <c r="C13" s="25">
        <v>0</v>
      </c>
      <c r="D13" s="25">
        <v>0</v>
      </c>
      <c r="E13" s="25">
        <v>0.5</v>
      </c>
      <c r="F13" s="25">
        <v>0.5</v>
      </c>
      <c r="G13" s="25">
        <v>0.25</v>
      </c>
    </row>
    <row r="14" spans="1:7" ht="15.75" thickBot="1" x14ac:dyDescent="0.3">
      <c r="A14" s="40"/>
      <c r="B14" s="3" t="s">
        <v>6</v>
      </c>
      <c r="C14" s="26">
        <v>0.25</v>
      </c>
      <c r="D14" s="26">
        <v>0.25</v>
      </c>
      <c r="E14" s="26">
        <v>0.25</v>
      </c>
      <c r="F14" s="26">
        <v>0.25</v>
      </c>
      <c r="G14" s="26">
        <v>0.25</v>
      </c>
    </row>
    <row r="15" spans="1:7" ht="15.75" thickBot="1" x14ac:dyDescent="0.3"/>
    <row r="16" spans="1:7" x14ac:dyDescent="0.25">
      <c r="B16" s="1" t="s">
        <v>9</v>
      </c>
      <c r="C16" s="10">
        <f>C5*C6*C7</f>
        <v>0</v>
      </c>
      <c r="D16" s="10">
        <f>D5*D6*D7</f>
        <v>0</v>
      </c>
      <c r="E16" s="10">
        <f>E5*E6*E7</f>
        <v>0</v>
      </c>
      <c r="F16" s="10">
        <f>F5*F6*F7</f>
        <v>0</v>
      </c>
      <c r="G16" s="11">
        <f>G5*G6*G7</f>
        <v>0</v>
      </c>
    </row>
    <row r="17" spans="1:7" x14ac:dyDescent="0.25">
      <c r="B17" s="2" t="s">
        <v>4</v>
      </c>
      <c r="C17" s="27">
        <f>C5*C6*C8</f>
        <v>0</v>
      </c>
      <c r="D17" s="27">
        <f t="shared" ref="D17:G17" si="0">D5*D6*D8</f>
        <v>0</v>
      </c>
      <c r="E17" s="27">
        <f t="shared" si="0"/>
        <v>0</v>
      </c>
      <c r="F17" s="27">
        <f t="shared" si="0"/>
        <v>0</v>
      </c>
      <c r="G17" s="12">
        <f t="shared" si="0"/>
        <v>0</v>
      </c>
    </row>
    <row r="18" spans="1:7" x14ac:dyDescent="0.25">
      <c r="B18" s="2" t="s">
        <v>5</v>
      </c>
      <c r="C18" s="27">
        <f>C5*C6*C9</f>
        <v>32</v>
      </c>
      <c r="D18" s="27">
        <f t="shared" ref="D18:G18" si="1">D5*D6*D9</f>
        <v>32</v>
      </c>
      <c r="E18" s="27">
        <f t="shared" si="1"/>
        <v>40</v>
      </c>
      <c r="F18" s="27">
        <f t="shared" si="1"/>
        <v>0</v>
      </c>
      <c r="G18" s="12">
        <f t="shared" si="1"/>
        <v>0</v>
      </c>
    </row>
    <row r="19" spans="1:7" x14ac:dyDescent="0.25">
      <c r="B19" s="2" t="s">
        <v>24</v>
      </c>
      <c r="C19" s="27">
        <f>C5*C6*C10</f>
        <v>4</v>
      </c>
      <c r="D19" s="27">
        <f t="shared" ref="D19:G19" si="2">D5*D6*D10</f>
        <v>8</v>
      </c>
      <c r="E19" s="27">
        <f t="shared" si="2"/>
        <v>16</v>
      </c>
      <c r="F19" s="27">
        <f t="shared" si="2"/>
        <v>0</v>
      </c>
      <c r="G19" s="12">
        <f t="shared" si="2"/>
        <v>0</v>
      </c>
    </row>
    <row r="20" spans="1:7" x14ac:dyDescent="0.25">
      <c r="B20" s="2" t="s">
        <v>25</v>
      </c>
      <c r="C20" s="27">
        <f>C5*C6*C11</f>
        <v>0</v>
      </c>
      <c r="D20" s="27">
        <f t="shared" ref="D20:G20" si="3">D5*D6*D11</f>
        <v>0</v>
      </c>
      <c r="E20" s="27">
        <f t="shared" si="3"/>
        <v>0</v>
      </c>
      <c r="F20" s="27">
        <f t="shared" si="3"/>
        <v>0</v>
      </c>
      <c r="G20" s="12">
        <f t="shared" si="3"/>
        <v>0</v>
      </c>
    </row>
    <row r="21" spans="1:7" x14ac:dyDescent="0.25">
      <c r="B21" s="2" t="s">
        <v>26</v>
      </c>
      <c r="C21" s="27">
        <f>C5*C6*C12</f>
        <v>0</v>
      </c>
      <c r="D21" s="27">
        <f t="shared" ref="D21:G21" si="4">D5*D6*D12</f>
        <v>0</v>
      </c>
      <c r="E21" s="27">
        <f t="shared" si="4"/>
        <v>0</v>
      </c>
      <c r="F21" s="27">
        <f t="shared" si="4"/>
        <v>80</v>
      </c>
      <c r="G21" s="12">
        <f t="shared" si="4"/>
        <v>0</v>
      </c>
    </row>
    <row r="22" spans="1:7" x14ac:dyDescent="0.25">
      <c r="B22" s="2" t="s">
        <v>7</v>
      </c>
      <c r="C22" s="27">
        <f>C5*C6*C13</f>
        <v>0</v>
      </c>
      <c r="D22" s="27">
        <f t="shared" ref="D22:G22" si="5">D5*D6*D13</f>
        <v>0</v>
      </c>
      <c r="E22" s="27">
        <f t="shared" si="5"/>
        <v>40</v>
      </c>
      <c r="F22" s="27">
        <f t="shared" si="5"/>
        <v>80</v>
      </c>
      <c r="G22" s="12">
        <f t="shared" si="5"/>
        <v>20</v>
      </c>
    </row>
    <row r="23" spans="1:7" ht="15.75" thickBot="1" x14ac:dyDescent="0.3">
      <c r="B23" s="3" t="s">
        <v>6</v>
      </c>
      <c r="C23" s="13">
        <f>C5*C6*C14</f>
        <v>10</v>
      </c>
      <c r="D23" s="13">
        <f t="shared" ref="D23:G23" si="6">D5*D6*D14</f>
        <v>10</v>
      </c>
      <c r="E23" s="13">
        <f t="shared" si="6"/>
        <v>20</v>
      </c>
      <c r="F23" s="13">
        <f t="shared" si="6"/>
        <v>40</v>
      </c>
      <c r="G23" s="14">
        <f t="shared" si="6"/>
        <v>20</v>
      </c>
    </row>
    <row r="24" spans="1:7" ht="15.75" thickBot="1" x14ac:dyDescent="0.3">
      <c r="B24" s="5" t="s">
        <v>14</v>
      </c>
      <c r="C24" s="15">
        <f>SUM(C16:C23)</f>
        <v>46</v>
      </c>
      <c r="D24" s="15">
        <f>SUM(D16:D23)</f>
        <v>50</v>
      </c>
      <c r="E24" s="15">
        <f>SUM(E16:E23)</f>
        <v>116</v>
      </c>
      <c r="F24" s="15">
        <f>SUM(F16:F23)</f>
        <v>200</v>
      </c>
      <c r="G24" s="16">
        <f>SUM(G16:G23)</f>
        <v>40</v>
      </c>
    </row>
    <row r="25" spans="1:7" ht="15.75" thickBot="1" x14ac:dyDescent="0.3">
      <c r="B25" s="6" t="s">
        <v>15</v>
      </c>
      <c r="C25" s="7">
        <f>C24+D24+E24+F24+G24</f>
        <v>452</v>
      </c>
    </row>
    <row r="26" spans="1:7" ht="15.75" thickBot="1" x14ac:dyDescent="0.3">
      <c r="B26" s="17" t="s">
        <v>17</v>
      </c>
      <c r="C26" s="8">
        <v>0.25</v>
      </c>
    </row>
    <row r="27" spans="1:7" ht="15.75" thickBot="1" x14ac:dyDescent="0.3">
      <c r="B27" s="6" t="s">
        <v>16</v>
      </c>
      <c r="C27" s="9">
        <f>(C25*C26)+C25</f>
        <v>565</v>
      </c>
    </row>
    <row r="29" spans="1:7" x14ac:dyDescent="0.25">
      <c r="B29" s="41" t="s">
        <v>18</v>
      </c>
      <c r="C29" s="41"/>
      <c r="D29" s="41"/>
      <c r="E29" s="41"/>
      <c r="F29" s="41"/>
    </row>
    <row r="30" spans="1:7" x14ac:dyDescent="0.25">
      <c r="A30">
        <v>1</v>
      </c>
      <c r="B30" s="42"/>
      <c r="C30" s="42"/>
      <c r="D30" s="42"/>
      <c r="E30" s="42"/>
      <c r="F30" s="42"/>
    </row>
    <row r="31" spans="1:7" x14ac:dyDescent="0.25">
      <c r="A31">
        <v>2</v>
      </c>
      <c r="B31" s="39"/>
      <c r="C31" s="39"/>
      <c r="D31" s="39"/>
      <c r="E31" s="39"/>
      <c r="F31" s="39"/>
    </row>
    <row r="32" spans="1:7" x14ac:dyDescent="0.25">
      <c r="A32">
        <v>3</v>
      </c>
      <c r="B32" s="39"/>
      <c r="C32" s="39"/>
      <c r="D32" s="39"/>
      <c r="E32" s="39"/>
      <c r="F32" s="39"/>
    </row>
    <row r="33" spans="1:6" x14ac:dyDescent="0.25">
      <c r="A33">
        <v>4</v>
      </c>
      <c r="B33" s="39"/>
      <c r="C33" s="39"/>
      <c r="D33" s="39"/>
      <c r="E33" s="39"/>
      <c r="F33" s="39"/>
    </row>
    <row r="34" spans="1:6" x14ac:dyDescent="0.25">
      <c r="A34">
        <v>5</v>
      </c>
      <c r="B34" s="39"/>
      <c r="C34" s="39"/>
      <c r="D34" s="39"/>
      <c r="E34" s="39"/>
      <c r="F34" s="39"/>
    </row>
    <row r="35" spans="1:6" x14ac:dyDescent="0.25">
      <c r="A35">
        <v>6</v>
      </c>
      <c r="B35" s="39"/>
      <c r="C35" s="39"/>
      <c r="D35" s="39"/>
      <c r="E35" s="39"/>
      <c r="F35" s="39"/>
    </row>
    <row r="36" spans="1:6" x14ac:dyDescent="0.25">
      <c r="A36">
        <v>7</v>
      </c>
      <c r="B36" s="39"/>
      <c r="C36" s="39"/>
      <c r="D36" s="39"/>
      <c r="E36" s="39"/>
      <c r="F36" s="39"/>
    </row>
    <row r="37" spans="1:6" x14ac:dyDescent="0.25">
      <c r="A37">
        <v>8</v>
      </c>
      <c r="B37" s="39"/>
      <c r="C37" s="39"/>
      <c r="D37" s="39"/>
      <c r="E37" s="39"/>
      <c r="F37" s="39"/>
    </row>
    <row r="38" spans="1:6" x14ac:dyDescent="0.25">
      <c r="A38">
        <v>9</v>
      </c>
      <c r="B38" s="39"/>
      <c r="C38" s="39"/>
      <c r="D38" s="39"/>
      <c r="E38" s="39"/>
      <c r="F38" s="39"/>
    </row>
    <row r="39" spans="1:6" x14ac:dyDescent="0.25">
      <c r="A39">
        <v>10</v>
      </c>
      <c r="B39" s="39"/>
      <c r="C39" s="39"/>
      <c r="D39" s="39"/>
      <c r="E39" s="39"/>
      <c r="F39" s="39"/>
    </row>
  </sheetData>
  <mergeCells count="12">
    <mergeCell ref="B39:F39"/>
    <mergeCell ref="A7:A14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8706-9E86-4676-90E0-2A115C4615F2}">
  <dimension ref="M5:N10"/>
  <sheetViews>
    <sheetView workbookViewId="0">
      <selection activeCell="P11" sqref="P11:Q12"/>
    </sheetView>
  </sheetViews>
  <sheetFormatPr defaultRowHeight="15" x14ac:dyDescent="0.25"/>
  <sheetData>
    <row r="5" spans="13:14" x14ac:dyDescent="0.25">
      <c r="M5" t="s">
        <v>51</v>
      </c>
      <c r="N5">
        <v>11</v>
      </c>
    </row>
    <row r="6" spans="13:14" x14ac:dyDescent="0.25">
      <c r="M6" t="s">
        <v>52</v>
      </c>
      <c r="N6">
        <v>4</v>
      </c>
    </row>
    <row r="7" spans="13:14" x14ac:dyDescent="0.25">
      <c r="M7" t="s">
        <v>53</v>
      </c>
      <c r="N7">
        <v>7</v>
      </c>
    </row>
    <row r="8" spans="13:14" x14ac:dyDescent="0.25">
      <c r="M8" t="s">
        <v>54</v>
      </c>
      <c r="N8">
        <v>8</v>
      </c>
    </row>
    <row r="9" spans="13:14" x14ac:dyDescent="0.25">
      <c r="M9" t="s">
        <v>55</v>
      </c>
      <c r="N9">
        <v>13</v>
      </c>
    </row>
    <row r="10" spans="13:14" x14ac:dyDescent="0.25">
      <c r="N10">
        <f>+AVERAGE(N5:N9)</f>
        <v>8.6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42C1-42E4-45E1-8D7D-EC5E1B0A3A9B}">
  <dimension ref="A3:G18"/>
  <sheetViews>
    <sheetView zoomScale="120" zoomScaleNormal="120" workbookViewId="0">
      <selection activeCell="A5" sqref="A5"/>
    </sheetView>
  </sheetViews>
  <sheetFormatPr defaultRowHeight="15" x14ac:dyDescent="0.25"/>
  <cols>
    <col min="1" max="1" width="29.42578125" customWidth="1"/>
    <col min="2" max="2" width="13.28515625" customWidth="1"/>
    <col min="3" max="3" width="13.140625" customWidth="1"/>
    <col min="4" max="4" width="13.85546875" customWidth="1"/>
    <col min="5" max="5" width="14.140625" customWidth="1"/>
    <col min="6" max="6" width="13.7109375" customWidth="1"/>
    <col min="7" max="7" width="15.5703125" customWidth="1"/>
  </cols>
  <sheetData>
    <row r="3" spans="1:7" x14ac:dyDescent="0.25">
      <c r="B3" t="s">
        <v>44</v>
      </c>
      <c r="C3" s="37" t="s">
        <v>45</v>
      </c>
      <c r="D3" s="37" t="s">
        <v>46</v>
      </c>
      <c r="E3" s="37" t="s">
        <v>47</v>
      </c>
      <c r="F3" s="37" t="s">
        <v>48</v>
      </c>
      <c r="G3" s="37" t="s">
        <v>49</v>
      </c>
    </row>
    <row r="4" spans="1:7" x14ac:dyDescent="0.25">
      <c r="A4" s="29" t="s">
        <v>30</v>
      </c>
    </row>
    <row r="5" spans="1:7" x14ac:dyDescent="0.25">
      <c r="A5" t="s">
        <v>29</v>
      </c>
      <c r="B5" s="32">
        <v>45908</v>
      </c>
    </row>
    <row r="6" spans="1:7" x14ac:dyDescent="0.25">
      <c r="A6" s="34" t="s">
        <v>31</v>
      </c>
    </row>
    <row r="7" spans="1:7" x14ac:dyDescent="0.25">
      <c r="A7" s="35" t="s">
        <v>32</v>
      </c>
      <c r="B7" s="36"/>
      <c r="C7" s="36"/>
      <c r="D7" s="36"/>
      <c r="E7" s="36"/>
      <c r="F7" s="36"/>
      <c r="G7" s="36"/>
    </row>
    <row r="8" spans="1:7" ht="30" x14ac:dyDescent="0.25">
      <c r="A8" s="35" t="s">
        <v>33</v>
      </c>
      <c r="B8" s="36"/>
      <c r="C8" s="36"/>
      <c r="D8" s="36"/>
      <c r="E8" s="36"/>
      <c r="F8" s="36"/>
      <c r="G8" s="36"/>
    </row>
    <row r="9" spans="1:7" x14ac:dyDescent="0.25">
      <c r="A9" s="33" t="s">
        <v>34</v>
      </c>
    </row>
    <row r="10" spans="1:7" ht="30" x14ac:dyDescent="0.25">
      <c r="A10" s="31" t="s">
        <v>35</v>
      </c>
    </row>
    <row r="11" spans="1:7" x14ac:dyDescent="0.25">
      <c r="A11" s="31" t="s">
        <v>36</v>
      </c>
    </row>
    <row r="12" spans="1:7" x14ac:dyDescent="0.25">
      <c r="A12" s="31" t="s">
        <v>37</v>
      </c>
    </row>
    <row r="13" spans="1:7" x14ac:dyDescent="0.25">
      <c r="A13" s="31" t="s">
        <v>38</v>
      </c>
    </row>
    <row r="14" spans="1:7" x14ac:dyDescent="0.25">
      <c r="A14" s="31" t="s">
        <v>39</v>
      </c>
    </row>
    <row r="15" spans="1:7" x14ac:dyDescent="0.25">
      <c r="A15" s="30" t="s">
        <v>40</v>
      </c>
    </row>
    <row r="16" spans="1:7" ht="30" x14ac:dyDescent="0.25">
      <c r="A16" s="31" t="s">
        <v>41</v>
      </c>
      <c r="B16" s="32">
        <v>45929</v>
      </c>
    </row>
    <row r="17" spans="1:1" x14ac:dyDescent="0.25">
      <c r="A17" s="31" t="s">
        <v>42</v>
      </c>
    </row>
    <row r="18" spans="1:1" ht="30" x14ac:dyDescent="0.25">
      <c r="A18" s="31" t="s">
        <v>43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1b7f118-5cb2-4d4e-85a3-82e07efb07e9}" enabled="0" method="" siteId="{d1b7f118-5cb2-4d4e-85a3-82e07efb07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Intercompany</vt:lpstr>
      <vt:lpstr>New SSB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Pinto, Dominic</dc:creator>
  <cp:lastModifiedBy>Herrera, Oscar</cp:lastModifiedBy>
  <dcterms:created xsi:type="dcterms:W3CDTF">2024-09-18T02:30:16Z</dcterms:created>
  <dcterms:modified xsi:type="dcterms:W3CDTF">2026-01-16T13:26:54Z</dcterms:modified>
</cp:coreProperties>
</file>