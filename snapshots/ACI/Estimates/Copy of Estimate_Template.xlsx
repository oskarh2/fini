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iww-my.sharepoint.com/personal/oscar_herrera_aciworldwide_com/Documents/Documents/SSB/Estimates/"/>
    </mc:Choice>
  </mc:AlternateContent>
  <xr:revisionPtr revIDLastSave="1" documentId="8_{DE143FBC-3E32-4807-A45B-F5D9B9F89EE1}" xr6:coauthVersionLast="47" xr6:coauthVersionMax="47" xr10:uidLastSave="{18A05CBE-24EE-4F7B-9256-773C92D62C55}"/>
  <bookViews>
    <workbookView xWindow="28680" yWindow="-120" windowWidth="29040" windowHeight="15720" xr2:uid="{575AB96C-5468-48FA-8914-780BB9C0B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F21" i="1"/>
  <c r="E21" i="1"/>
  <c r="D21" i="1"/>
  <c r="G20" i="1"/>
  <c r="F20" i="1"/>
  <c r="E20" i="1"/>
  <c r="D20" i="1"/>
  <c r="C21" i="1"/>
  <c r="C20" i="1"/>
  <c r="G23" i="1"/>
  <c r="F23" i="1"/>
  <c r="E23" i="1"/>
  <c r="D23" i="1"/>
  <c r="C23" i="1"/>
  <c r="G22" i="1"/>
  <c r="F22" i="1"/>
  <c r="E22" i="1"/>
  <c r="D22" i="1"/>
  <c r="C22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24" i="1" l="1"/>
  <c r="F24" i="1"/>
  <c r="E24" i="1"/>
  <c r="D24" i="1"/>
  <c r="C24" i="1"/>
  <c r="C25" i="1" l="1"/>
  <c r="C27" i="1" s="1"/>
</calcChain>
</file>

<file path=xl/sharedStrings.xml><?xml version="1.0" encoding="utf-8"?>
<sst xmlns="http://schemas.openxmlformats.org/spreadsheetml/2006/main" count="36" uniqueCount="28">
  <si>
    <t>Solution Planning</t>
  </si>
  <si>
    <t>Plan &amp; Design</t>
  </si>
  <si>
    <t>Implement</t>
  </si>
  <si>
    <t>Build &amp; Test</t>
  </si>
  <si>
    <t>Business Analyst</t>
  </si>
  <si>
    <t>Solution Architect</t>
  </si>
  <si>
    <t>Project Manager</t>
  </si>
  <si>
    <t>Quality Analyst</t>
  </si>
  <si>
    <t>Project Meetings (All)</t>
  </si>
  <si>
    <t>Infrastructure Technical Consultant</t>
  </si>
  <si>
    <t>Enter Number of weeks</t>
  </si>
  <si>
    <t>Hours/Week</t>
  </si>
  <si>
    <t>Enter Allocations</t>
  </si>
  <si>
    <t>Project Activities</t>
  </si>
  <si>
    <t>SUB TOTAL</t>
  </si>
  <si>
    <t>TOTAL (LOW)</t>
  </si>
  <si>
    <t>TOTAL (HIGH)</t>
  </si>
  <si>
    <t>Enter Contingency (Confidence level)</t>
  </si>
  <si>
    <t>Enter Assumptions:</t>
  </si>
  <si>
    <t>Project Phase</t>
  </si>
  <si>
    <t>Attend internal project team meetings, Attend customer project team meetings, Attend executive steering meetings</t>
  </si>
  <si>
    <t>Support Customer Installation &amp; Configuration in up to 4 environments (Test, Cert, Prod, HA) for x weeks, Support Customer Testing in up to 4 environments (Test, Cert, Prod, HA) for x weeks, Review Customer go-live / roll-back plan, Support on-the-night-go-live, Support post-prod stabilization, Prepare HELP24 handover document, Handover to HELP24, Close project code</t>
  </si>
  <si>
    <t>Review SoW, Setup Project code, Internal Project Kickoff, Customer Project Kickoff, Validate customer H/W &amp; S/W requirements, Deliver application licenses</t>
  </si>
  <si>
    <t>Participate in a business assessment workshop to gather detailed requirements, Document Solution Detail Document (SDD),  Develop Project Plan, Review Customer Test Plan, Develop Internal Test Plan, Obtain Sign off of SDD &amp; Test Plans</t>
  </si>
  <si>
    <t>Technical Consultant (MTS)</t>
  </si>
  <si>
    <t>Technical Consultant (UPF)</t>
  </si>
  <si>
    <t>Application Configuration (MTS)</t>
  </si>
  <si>
    <t>Setup internal server, Install &amp; configure application in an internal environment, Build Configuration, Unit Test the application setup &amp; Configuration, end-to-end test the setup &amp; configuration, Fix cases, Re-test, Compile software package, Deliver package, Update SDD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</si>
</sst>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2" fillId="0" borderId="0" xfId="0" applyFont="1"/>
    <xf numFmtId="0" fontId="1" fillId="0" borderId="10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6" xfId="0" applyFont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3" borderId="0" xfId="0" applyFill="1" applyAlignment="1">
      <alignment horizontal="right"/>
    </xf>
    <xf numFmtId="0" fontId="0" fillId="3" borderId="7" xfId="0" applyFill="1" applyBorder="1"/>
    <xf numFmtId="0" fontId="0" fillId="0" borderId="10" xfId="0" applyBorder="1"/>
    <xf numFmtId="0" fontId="1" fillId="0" borderId="1" xfId="0" applyFont="1" applyBorder="1" applyAlignment="1">
      <alignment horizontal="center"/>
    </xf>
    <xf numFmtId="0" fontId="0" fillId="0" borderId="17" xfId="0" applyBorder="1" applyAlignment="1">
      <alignment horizontal="left" wrapText="1"/>
    </xf>
    <xf numFmtId="0" fontId="0" fillId="2" borderId="17" xfId="0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9" fontId="0" fillId="2" borderId="13" xfId="0" applyNumberFormat="1" applyFill="1" applyBorder="1" applyAlignment="1">
      <alignment horizontal="center" wrapText="1"/>
    </xf>
    <xf numFmtId="9" fontId="0" fillId="2" borderId="14" xfId="0" applyNumberFormat="1" applyFill="1" applyBorder="1" applyAlignment="1">
      <alignment horizontal="center" wrapText="1"/>
    </xf>
    <xf numFmtId="9" fontId="0" fillId="2" borderId="15" xfId="0" applyNumberForma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8E27C-F725-40B8-A366-E42D8AFF93D0}">
  <dimension ref="A2:G39"/>
  <sheetViews>
    <sheetView tabSelected="1" topLeftCell="A4" workbookViewId="0">
      <selection activeCell="E10" sqref="E10"/>
    </sheetView>
  </sheetViews>
  <sheetFormatPr defaultRowHeight="15" x14ac:dyDescent="0.25"/>
  <cols>
    <col min="1" max="1" width="11.42578125" customWidth="1"/>
    <col min="2" max="2" width="38.7109375" customWidth="1"/>
    <col min="3" max="3" width="22.140625" customWidth="1"/>
    <col min="4" max="4" width="24" customWidth="1"/>
    <col min="5" max="5" width="33" customWidth="1"/>
    <col min="6" max="6" width="38.7109375" customWidth="1"/>
    <col min="7" max="7" width="41.28515625" customWidth="1"/>
  </cols>
  <sheetData>
    <row r="2" spans="1:7" ht="15.75" thickBot="1" x14ac:dyDescent="0.3"/>
    <row r="3" spans="1:7" ht="15.75" thickBot="1" x14ac:dyDescent="0.3">
      <c r="B3" s="19" t="s">
        <v>19</v>
      </c>
      <c r="C3" s="20" t="s">
        <v>8</v>
      </c>
      <c r="D3" s="20" t="s">
        <v>0</v>
      </c>
      <c r="E3" s="20" t="s">
        <v>1</v>
      </c>
      <c r="F3" s="20" t="s">
        <v>3</v>
      </c>
      <c r="G3" s="20" t="s">
        <v>2</v>
      </c>
    </row>
    <row r="4" spans="1:7" ht="136.9" customHeight="1" thickBot="1" x14ac:dyDescent="0.3">
      <c r="B4" s="3" t="s">
        <v>13</v>
      </c>
      <c r="C4" s="21" t="s">
        <v>20</v>
      </c>
      <c r="D4" s="21" t="s">
        <v>22</v>
      </c>
      <c r="E4" s="21" t="s">
        <v>23</v>
      </c>
      <c r="F4" s="21" t="s">
        <v>27</v>
      </c>
      <c r="G4" s="21" t="s">
        <v>21</v>
      </c>
    </row>
    <row r="5" spans="1:7" ht="14.45" customHeight="1" thickBot="1" x14ac:dyDescent="0.3">
      <c r="B5" s="18" t="s">
        <v>10</v>
      </c>
      <c r="C5" s="22">
        <v>0</v>
      </c>
      <c r="D5" s="22">
        <v>0</v>
      </c>
      <c r="E5" s="22">
        <v>0</v>
      </c>
      <c r="F5" s="22">
        <v>0</v>
      </c>
      <c r="G5" s="22">
        <v>0</v>
      </c>
    </row>
    <row r="6" spans="1:7" ht="14.45" customHeight="1" thickBot="1" x14ac:dyDescent="0.3">
      <c r="B6" s="4" t="s">
        <v>11</v>
      </c>
      <c r="C6" s="23">
        <v>40</v>
      </c>
      <c r="D6" s="23">
        <v>40</v>
      </c>
      <c r="E6" s="23">
        <v>40</v>
      </c>
      <c r="F6" s="23">
        <v>40</v>
      </c>
      <c r="G6" s="23">
        <v>40</v>
      </c>
    </row>
    <row r="7" spans="1:7" ht="16.149999999999999" customHeight="1" x14ac:dyDescent="0.25">
      <c r="A7" s="29" t="s">
        <v>12</v>
      </c>
      <c r="B7" s="1" t="s">
        <v>9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</row>
    <row r="8" spans="1:7" x14ac:dyDescent="0.25">
      <c r="A8" s="29"/>
      <c r="B8" s="2" t="s">
        <v>4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</row>
    <row r="9" spans="1:7" x14ac:dyDescent="0.25">
      <c r="A9" s="29"/>
      <c r="B9" s="2" t="s">
        <v>5</v>
      </c>
      <c r="C9" s="25">
        <v>0</v>
      </c>
      <c r="D9" s="25">
        <v>0</v>
      </c>
      <c r="E9" s="25">
        <v>0.25</v>
      </c>
      <c r="F9" s="25">
        <v>0</v>
      </c>
      <c r="G9" s="25">
        <v>0</v>
      </c>
    </row>
    <row r="10" spans="1:7" x14ac:dyDescent="0.25">
      <c r="A10" s="29"/>
      <c r="B10" s="2" t="s">
        <v>24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</row>
    <row r="11" spans="1:7" x14ac:dyDescent="0.25">
      <c r="A11" s="29"/>
      <c r="B11" s="2" t="s">
        <v>25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</row>
    <row r="12" spans="1:7" x14ac:dyDescent="0.25">
      <c r="A12" s="29"/>
      <c r="B12" s="2" t="s">
        <v>26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</row>
    <row r="13" spans="1:7" x14ac:dyDescent="0.25">
      <c r="A13" s="29"/>
      <c r="B13" s="2" t="s">
        <v>7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</row>
    <row r="14" spans="1:7" ht="15.75" thickBot="1" x14ac:dyDescent="0.3">
      <c r="A14" s="29"/>
      <c r="B14" s="3" t="s">
        <v>6</v>
      </c>
      <c r="C14" s="26">
        <v>0.25</v>
      </c>
      <c r="D14" s="26">
        <v>0.25</v>
      </c>
      <c r="E14" s="26">
        <v>0.25</v>
      </c>
      <c r="F14" s="26">
        <v>0.25</v>
      </c>
      <c r="G14" s="26">
        <v>0.25</v>
      </c>
    </row>
    <row r="15" spans="1:7" ht="15.75" thickBot="1" x14ac:dyDescent="0.3"/>
    <row r="16" spans="1:7" x14ac:dyDescent="0.25">
      <c r="B16" s="1" t="s">
        <v>9</v>
      </c>
      <c r="C16" s="10">
        <f>C5*C6*C7</f>
        <v>0</v>
      </c>
      <c r="D16" s="10">
        <f>D5*D6*D7</f>
        <v>0</v>
      </c>
      <c r="E16" s="10">
        <f>E5*E6*E7</f>
        <v>0</v>
      </c>
      <c r="F16" s="10">
        <f>F5*F6*F7</f>
        <v>0</v>
      </c>
      <c r="G16" s="11">
        <f>G5*G6*G7</f>
        <v>0</v>
      </c>
    </row>
    <row r="17" spans="1:7" x14ac:dyDescent="0.25">
      <c r="B17" s="2" t="s">
        <v>4</v>
      </c>
      <c r="C17" s="27">
        <f>C5*C6*C8</f>
        <v>0</v>
      </c>
      <c r="D17" s="27">
        <f t="shared" ref="D17:G17" si="0">D5*D6*D8</f>
        <v>0</v>
      </c>
      <c r="E17" s="27">
        <f t="shared" si="0"/>
        <v>0</v>
      </c>
      <c r="F17" s="27">
        <f t="shared" si="0"/>
        <v>0</v>
      </c>
      <c r="G17" s="12">
        <f t="shared" si="0"/>
        <v>0</v>
      </c>
    </row>
    <row r="18" spans="1:7" x14ac:dyDescent="0.25">
      <c r="B18" s="2" t="s">
        <v>5</v>
      </c>
      <c r="C18" s="27">
        <f>C5*C6*C9</f>
        <v>0</v>
      </c>
      <c r="D18" s="27">
        <f t="shared" ref="D18:G18" si="1">D5*D6*D9</f>
        <v>0</v>
      </c>
      <c r="E18" s="27">
        <f t="shared" si="1"/>
        <v>0</v>
      </c>
      <c r="F18" s="27">
        <f t="shared" si="1"/>
        <v>0</v>
      </c>
      <c r="G18" s="12">
        <f t="shared" si="1"/>
        <v>0</v>
      </c>
    </row>
    <row r="19" spans="1:7" x14ac:dyDescent="0.25">
      <c r="B19" s="2" t="s">
        <v>24</v>
      </c>
      <c r="C19" s="27">
        <f>C5*C6*C10</f>
        <v>0</v>
      </c>
      <c r="D19" s="27">
        <f t="shared" ref="D19:G19" si="2">D5*D6*D10</f>
        <v>0</v>
      </c>
      <c r="E19" s="27">
        <f t="shared" si="2"/>
        <v>0</v>
      </c>
      <c r="F19" s="27">
        <f t="shared" si="2"/>
        <v>0</v>
      </c>
      <c r="G19" s="12">
        <f t="shared" si="2"/>
        <v>0</v>
      </c>
    </row>
    <row r="20" spans="1:7" x14ac:dyDescent="0.25">
      <c r="B20" s="2" t="s">
        <v>25</v>
      </c>
      <c r="C20" s="27">
        <f>C5*C6*C11</f>
        <v>0</v>
      </c>
      <c r="D20" s="27">
        <f t="shared" ref="D20:G20" si="3">D5*D6*D11</f>
        <v>0</v>
      </c>
      <c r="E20" s="27">
        <f t="shared" si="3"/>
        <v>0</v>
      </c>
      <c r="F20" s="27">
        <f t="shared" si="3"/>
        <v>0</v>
      </c>
      <c r="G20" s="12">
        <f t="shared" si="3"/>
        <v>0</v>
      </c>
    </row>
    <row r="21" spans="1:7" x14ac:dyDescent="0.25">
      <c r="B21" s="2" t="s">
        <v>26</v>
      </c>
      <c r="C21" s="27">
        <f>C5*C6*C12</f>
        <v>0</v>
      </c>
      <c r="D21" s="27">
        <f t="shared" ref="D21:G21" si="4">D5*D6*D12</f>
        <v>0</v>
      </c>
      <c r="E21" s="27">
        <f t="shared" si="4"/>
        <v>0</v>
      </c>
      <c r="F21" s="27">
        <f t="shared" si="4"/>
        <v>0</v>
      </c>
      <c r="G21" s="12">
        <f t="shared" si="4"/>
        <v>0</v>
      </c>
    </row>
    <row r="22" spans="1:7" x14ac:dyDescent="0.25">
      <c r="B22" s="2" t="s">
        <v>7</v>
      </c>
      <c r="C22" s="27">
        <f>C5*C6*C13</f>
        <v>0</v>
      </c>
      <c r="D22" s="27">
        <f t="shared" ref="D22:G22" si="5">D5*D6*D13</f>
        <v>0</v>
      </c>
      <c r="E22" s="27">
        <f t="shared" si="5"/>
        <v>0</v>
      </c>
      <c r="F22" s="27">
        <f t="shared" si="5"/>
        <v>0</v>
      </c>
      <c r="G22" s="12">
        <f t="shared" si="5"/>
        <v>0</v>
      </c>
    </row>
    <row r="23" spans="1:7" ht="15.75" thickBot="1" x14ac:dyDescent="0.3">
      <c r="B23" s="3" t="s">
        <v>6</v>
      </c>
      <c r="C23" s="13">
        <f>C5*C6*C14</f>
        <v>0</v>
      </c>
      <c r="D23" s="13">
        <f t="shared" ref="D23:G23" si="6">D5*D6*D14</f>
        <v>0</v>
      </c>
      <c r="E23" s="13">
        <f t="shared" si="6"/>
        <v>0</v>
      </c>
      <c r="F23" s="13">
        <f t="shared" si="6"/>
        <v>0</v>
      </c>
      <c r="G23" s="14">
        <f t="shared" si="6"/>
        <v>0</v>
      </c>
    </row>
    <row r="24" spans="1:7" ht="15.75" thickBot="1" x14ac:dyDescent="0.3">
      <c r="B24" s="5" t="s">
        <v>14</v>
      </c>
      <c r="C24" s="15">
        <f>SUM(C16:C23)</f>
        <v>0</v>
      </c>
      <c r="D24" s="15">
        <f>SUM(D16:D23)</f>
        <v>0</v>
      </c>
      <c r="E24" s="15">
        <f>SUM(E16:E23)</f>
        <v>0</v>
      </c>
      <c r="F24" s="15">
        <f>SUM(F16:F23)</f>
        <v>0</v>
      </c>
      <c r="G24" s="16">
        <f>SUM(G16:G23)</f>
        <v>0</v>
      </c>
    </row>
    <row r="25" spans="1:7" ht="15.75" thickBot="1" x14ac:dyDescent="0.3">
      <c r="B25" s="6" t="s">
        <v>15</v>
      </c>
      <c r="C25" s="7">
        <f>C24+D24+E24+F24+G24</f>
        <v>0</v>
      </c>
    </row>
    <row r="26" spans="1:7" ht="15.75" thickBot="1" x14ac:dyDescent="0.3">
      <c r="B26" s="17" t="s">
        <v>17</v>
      </c>
      <c r="C26" s="8">
        <v>0.25</v>
      </c>
    </row>
    <row r="27" spans="1:7" ht="15.75" thickBot="1" x14ac:dyDescent="0.3">
      <c r="B27" s="6" t="s">
        <v>16</v>
      </c>
      <c r="C27" s="9">
        <f>(C25*C26)+C25</f>
        <v>0</v>
      </c>
    </row>
    <row r="29" spans="1:7" x14ac:dyDescent="0.25">
      <c r="B29" s="30" t="s">
        <v>18</v>
      </c>
      <c r="C29" s="30"/>
      <c r="D29" s="30"/>
      <c r="E29" s="30"/>
      <c r="F29" s="30"/>
    </row>
    <row r="30" spans="1:7" x14ac:dyDescent="0.25">
      <c r="A30">
        <v>1</v>
      </c>
      <c r="B30" s="31"/>
      <c r="C30" s="31"/>
      <c r="D30" s="31"/>
      <c r="E30" s="31"/>
      <c r="F30" s="31"/>
    </row>
    <row r="31" spans="1:7" x14ac:dyDescent="0.25">
      <c r="A31">
        <v>2</v>
      </c>
      <c r="B31" s="28"/>
      <c r="C31" s="28"/>
      <c r="D31" s="28"/>
      <c r="E31" s="28"/>
      <c r="F31" s="28"/>
    </row>
    <row r="32" spans="1:7" x14ac:dyDescent="0.25">
      <c r="A32">
        <v>3</v>
      </c>
      <c r="B32" s="28"/>
      <c r="C32" s="28"/>
      <c r="D32" s="28"/>
      <c r="E32" s="28"/>
      <c r="F32" s="28"/>
    </row>
    <row r="33" spans="1:6" x14ac:dyDescent="0.25">
      <c r="A33">
        <v>4</v>
      </c>
      <c r="B33" s="28"/>
      <c r="C33" s="28"/>
      <c r="D33" s="28"/>
      <c r="E33" s="28"/>
      <c r="F33" s="28"/>
    </row>
    <row r="34" spans="1:6" x14ac:dyDescent="0.25">
      <c r="A34">
        <v>5</v>
      </c>
      <c r="B34" s="28"/>
      <c r="C34" s="28"/>
      <c r="D34" s="28"/>
      <c r="E34" s="28"/>
      <c r="F34" s="28"/>
    </row>
    <row r="35" spans="1:6" x14ac:dyDescent="0.25">
      <c r="A35">
        <v>6</v>
      </c>
      <c r="B35" s="28"/>
      <c r="C35" s="28"/>
      <c r="D35" s="28"/>
      <c r="E35" s="28"/>
      <c r="F35" s="28"/>
    </row>
    <row r="36" spans="1:6" x14ac:dyDescent="0.25">
      <c r="A36">
        <v>7</v>
      </c>
      <c r="B36" s="28"/>
      <c r="C36" s="28"/>
      <c r="D36" s="28"/>
      <c r="E36" s="28"/>
      <c r="F36" s="28"/>
    </row>
    <row r="37" spans="1:6" x14ac:dyDescent="0.25">
      <c r="A37">
        <v>8</v>
      </c>
      <c r="B37" s="28"/>
      <c r="C37" s="28"/>
      <c r="D37" s="28"/>
      <c r="E37" s="28"/>
      <c r="F37" s="28"/>
    </row>
    <row r="38" spans="1:6" x14ac:dyDescent="0.25">
      <c r="A38">
        <v>9</v>
      </c>
      <c r="B38" s="28"/>
      <c r="C38" s="28"/>
      <c r="D38" s="28"/>
      <c r="E38" s="28"/>
      <c r="F38" s="28"/>
    </row>
    <row r="39" spans="1:6" x14ac:dyDescent="0.25">
      <c r="A39">
        <v>10</v>
      </c>
      <c r="B39" s="28"/>
      <c r="C39" s="28"/>
      <c r="D39" s="28"/>
      <c r="E39" s="28"/>
      <c r="F39" s="28"/>
    </row>
  </sheetData>
  <mergeCells count="12">
    <mergeCell ref="A7:A14"/>
    <mergeCell ref="B29:F29"/>
    <mergeCell ref="B30:F30"/>
    <mergeCell ref="B31:F31"/>
    <mergeCell ref="B32:F32"/>
    <mergeCell ref="B39:F39"/>
    <mergeCell ref="B33:F33"/>
    <mergeCell ref="B34:F34"/>
    <mergeCell ref="B35:F35"/>
    <mergeCell ref="B36:F36"/>
    <mergeCell ref="B37:F37"/>
    <mergeCell ref="B38:F3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7f118-5cb2-4d4e-85a3-82e07efb07e9}" enabled="0" method="" siteId="{d1b7f118-5cb2-4d4e-85a3-82e07efb07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Pinto, Dominic</dc:creator>
  <cp:lastModifiedBy>Herrera, Oscar</cp:lastModifiedBy>
  <dcterms:created xsi:type="dcterms:W3CDTF">2024-09-18T02:30:16Z</dcterms:created>
  <dcterms:modified xsi:type="dcterms:W3CDTF">2025-08-25T14:43:39Z</dcterms:modified>
</cp:coreProperties>
</file>