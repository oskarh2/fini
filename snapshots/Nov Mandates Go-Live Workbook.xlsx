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defaultThemeVersion="166925"/>
  <mc:AlternateContent xmlns:mc="http://schemas.openxmlformats.org/markup-compatibility/2006">
    <mc:Choice Requires="x15">
      <x15ac:absPath xmlns:x15ac="http://schemas.microsoft.com/office/spreadsheetml/2010/11/ac" url="https://aciww.sharepoint.com/sites/Global/team/iso20022/Shared Documents/SWIFT ISO 2025/Go Live Governance/"/>
    </mc:Choice>
  </mc:AlternateContent>
  <xr:revisionPtr revIDLastSave="0" documentId="8_{FB3D2D14-22EF-458C-9B67-61A2896AA69D}" xr6:coauthVersionLast="47" xr6:coauthVersionMax="47" xr10:uidLastSave="{00000000-0000-0000-0000-000000000000}"/>
  <bookViews>
    <workbookView xWindow="13575" yWindow="-16320" windowWidth="29040" windowHeight="15720" firstSheet="7" activeTab="5" xr2:uid="{05976871-D0AC-4FAB-8EB6-9912ABB787DA}"/>
  </bookViews>
  <sheets>
    <sheet name="SWIFT High level Bank Summary" sheetId="1" state="hidden" r:id="rId1"/>
    <sheet name="Program Update" sheetId="58" state="hidden" r:id="rId2"/>
    <sheet name=" High level Bank " sheetId="37" r:id="rId3"/>
    <sheet name="Case Tracker" sheetId="35" state="hidden" r:id="rId4"/>
    <sheet name="Defect ELT Summary" sheetId="61" state="hidden" r:id="rId5"/>
    <sheet name="Bank Code Versions " sheetId="45" r:id="rId6"/>
    <sheet name="Collaboration Principles" sheetId="29" state="hidden" r:id="rId7"/>
    <sheet name="CD Go Live Shifts &amp; On-Call" sheetId="46" r:id="rId8"/>
    <sheet name="PD Coverage" sheetId="44" state="hidden" r:id="rId9"/>
    <sheet name="PM Coverage &amp; SWIFT ISO" sheetId="55" state="hidden" r:id="rId10"/>
    <sheet name="Checkpoint Call Schedule" sheetId="51" state="hidden" r:id="rId11"/>
    <sheet name="Stakeholder Update" sheetId="40" state="hidden" r:id="rId12"/>
    <sheet name="Technical Go Live Update Templa" sheetId="57" state="hidden" r:id="rId13"/>
    <sheet name="PM Fed Go Live Update Template" sheetId="56" state="hidden" r:id="rId14"/>
    <sheet name="Communication Plan" sheetId="31" state="hidden" r:id="rId15"/>
    <sheet name="P2 Case Burndown" sheetId="42" state="hidden" r:id="rId16"/>
    <sheet name="P1_P2 Case Summary" sheetId="41" state="hidden" r:id="rId17"/>
    <sheet name="Technical Go Live" sheetId="39" state="hidden" r:id="rId18"/>
    <sheet name="On-Call Contact Information" sheetId="28" r:id="rId19"/>
    <sheet name="Go Live Updates" sheetId="47" r:id="rId20"/>
    <sheet name="Sheet2" sheetId="53" state="hidden" r:id="rId21"/>
    <sheet name="Guaranteed Message Configured" sheetId="25" state="hidden" r:id="rId22"/>
    <sheet name="Milestone" sheetId="19" state="hidden" r:id="rId23"/>
    <sheet name="First Request Onsite" sheetId="43" state="hidden" r:id="rId24"/>
  </sheets>
  <definedNames>
    <definedName name="_xlnm._FilterDatabase" localSheetId="5" hidden="1">'Bank Code Versions '!$A$1:$O$24</definedName>
    <definedName name="_xlnm._FilterDatabase" localSheetId="3" hidden="1">'Case Tracker'!$A$5:$K$5</definedName>
    <definedName name="_xlnm._FilterDatabase" localSheetId="14" hidden="1">'Communication Plan'!$A$8:$G$44</definedName>
    <definedName name="_xlnm._FilterDatabase" localSheetId="19" hidden="1">'Go Live Updates'!$B$3:$AF$26</definedName>
    <definedName name="_xlnm._FilterDatabase" localSheetId="22" hidden="1">Milestone!$B$2:$O$26</definedName>
    <definedName name="_xlnm._FilterDatabase" localSheetId="1" hidden="1">'Program Update'!$A$3:$Q$3</definedName>
    <definedName name="_xlnm._FilterDatabase" localSheetId="0" hidden="1">'SWIFT High level Bank Summary'!$A$1:$Y$27</definedName>
    <definedName name="_xlnm._FilterDatabase" localSheetId="2" hidden="1">' High level Bank '!$A$1:$N$23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9" i="46" l="1"/>
  <c r="F99" i="46"/>
  <c r="G99"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tc={0CFE7CB2-E340-4902-B850-B68999CC1383}</author>
  </authors>
  <commentList>
    <comment ref="B24" authorId="0" shapeId="0" xr:uid="{0CFE7CB2-E340-4902-B850-B68999CC138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@Florence, Lolita How can Kevin be our on call support person if he is traveling? Thanks!
Reply:
    I am not updating this tab.  This will be done by the PMs.</t>
      </text>
    </comment>
  </commentList>
</comments>
</file>

<file path=xl/sharedStrings.xml><?xml version="1.0" encoding="utf-8"?>
<sst xmlns="http://schemas.openxmlformats.org/spreadsheetml/2006/main" count="3633" uniqueCount="1201">
  <si>
    <t>Customer Name</t>
  </si>
  <si>
    <t>SM</t>
  </si>
  <si>
    <t>Status - Risk, Ticket Count</t>
  </si>
  <si>
    <t>MTS Version (March 2023)</t>
  </si>
  <si>
    <t>UPF Version (March 2023)</t>
  </si>
  <si>
    <t xml:space="preserve">GM Risk </t>
  </si>
  <si>
    <t>Fix Pack Version (March 2023)</t>
  </si>
  <si>
    <t>Snapshot Y/N</t>
  </si>
  <si>
    <t>Guaranteed Messaging</t>
  </si>
  <si>
    <t>Gateway - SAA/SAG/OTHER</t>
  </si>
  <si>
    <t>Bank Adaptor</t>
  </si>
  <si>
    <t>Plan Version</t>
  </si>
  <si>
    <t>Region/ Business Hours</t>
  </si>
  <si>
    <t>Start Business Day Time</t>
  </si>
  <si>
    <t>Delivery Executive</t>
  </si>
  <si>
    <t>Technical Go-LIVE Date</t>
  </si>
  <si>
    <t xml:space="preserve">UPF On (Receiving Messages) </t>
  </si>
  <si>
    <t>Control Center Usage in March (Y/N)</t>
  </si>
  <si>
    <r>
      <rPr>
        <b/>
        <sz val="11"/>
        <color rgb="FF000000"/>
        <rFont val="Calibri"/>
        <family val="2"/>
      </rPr>
      <t xml:space="preserve">Implementation Details - </t>
    </r>
    <r>
      <rPr>
        <b/>
        <sz val="11"/>
        <color rgb="FFFF0000"/>
        <rFont val="Calibri"/>
        <family val="2"/>
      </rPr>
      <t>Include UPF Components</t>
    </r>
  </si>
  <si>
    <t>Revised Plan - Meeting/Reviewed</t>
  </si>
  <si>
    <t>ABC</t>
  </si>
  <si>
    <t>Celia Christensen</t>
  </si>
  <si>
    <t>Green</t>
  </si>
  <si>
    <t>5.8.59.0</t>
  </si>
  <si>
    <t>N/A</t>
  </si>
  <si>
    <t>N/A for this phase
Amit will work with bank to install for their ISO phase</t>
  </si>
  <si>
    <t xml:space="preserve"> </t>
  </si>
  <si>
    <t>N</t>
  </si>
  <si>
    <t xml:space="preserve">
SWIFT SAA (IF036):  1.4.2.8</t>
  </si>
  <si>
    <t>No</t>
  </si>
  <si>
    <t>Plan C</t>
  </si>
  <si>
    <t>Eastern</t>
  </si>
  <si>
    <t>Christine Goddard-Brown</t>
  </si>
  <si>
    <t>N/A (Non MTS)</t>
  </si>
  <si>
    <r>
      <rPr>
        <sz val="11"/>
        <color rgb="FF000000"/>
        <rFont val="Calibri"/>
        <family val="2"/>
      </rPr>
      <t xml:space="preserve">As of 3/6: ABC let us know that they will onbly be using translation for march and wiill go full ISO at a later date
</t>
    </r>
    <r>
      <rPr>
        <strike/>
        <sz val="11"/>
        <color rgb="FF000000"/>
        <rFont val="Calibri"/>
        <family val="2"/>
      </rPr>
      <t xml:space="preserve">
MTS and Oracle Upgrade from 12c to 19c
Live on Dec SP and ISO phase 7.
No Bank adapter.
•	APSF Control Center:  5.0.2-9 
•	Control Center’s RTPF Plugin:  3.2.11.0
•	MCAS:  5.0.2-18
•	ICE-XS:  ICE-XS 6.0.2.19
•	MCAS IPF Cartridges:  3.2.11.0
•	SWIFT SAA (IF036):  1.4.2.8
•	SWIFT SAG (IF040):  n/a
•	MTS Adapter (IF042):  1.5.4.0
•	RTPS Bank Adapter (IF046): 1.2.0.2 n/a
</t>
    </r>
  </si>
  <si>
    <t>Will be going live with Dec SP for March, date TBD.</t>
  </si>
  <si>
    <t xml:space="preserve">Bank of America
</t>
  </si>
  <si>
    <t>Andee Coyle</t>
  </si>
  <si>
    <t>boa1_mts_50859</t>
  </si>
  <si>
    <t>RTPF MCAS 5.0.2-18</t>
  </si>
  <si>
    <t>Potential Solution - 5.0.2._20 w/MTS Adapter and SAA patch and latest ICE</t>
  </si>
  <si>
    <t>FP5</t>
  </si>
  <si>
    <t>Y</t>
  </si>
  <si>
    <t>SAA Version 7.6.57</t>
  </si>
  <si>
    <t>Yes</t>
  </si>
  <si>
    <t>Plan A</t>
  </si>
  <si>
    <t xml:space="preserve">Y </t>
  </si>
  <si>
    <t>Jan Tech Go Live for SWIFT translator</t>
  </si>
  <si>
    <t>BOA original plan was going live with Plan A in Feb/March and will continue with that plan, schedule to be revised mid-Nov</t>
  </si>
  <si>
    <t>Bank of the West</t>
  </si>
  <si>
    <t>Dayro Andrade</t>
  </si>
  <si>
    <t>5.8.60.0 Snapshot BOW22</t>
  </si>
  <si>
    <t>FP4
January 2023 SP (In Testing)</t>
  </si>
  <si>
    <t>SAA</t>
  </si>
  <si>
    <t>Jeff Rawson</t>
  </si>
  <si>
    <t xml:space="preserve">11/19 - 11/20 - No UPF
2/10 - Delivered January 2023 SP and they plan to roll this into production before March.
3/11 - Installed snapshot BOW22 in prod  </t>
  </si>
  <si>
    <t>Remain on Plan C for March</t>
  </si>
  <si>
    <t>BNP</t>
  </si>
  <si>
    <t>Corina Brehui</t>
  </si>
  <si>
    <t>Red</t>
  </si>
  <si>
    <t>5.8.60.0 - Snapshot BNP20</t>
  </si>
  <si>
    <t xml:space="preserve">ISO_Jan23:
•	Immediate Payments 3.2.13.0
•	MTS ISO20022 Adapter 1.5.5.0-2
•	RTPS Bank Adapter 1.2.1.0
•	SWIFT ISO20022 SAA Gateway 1.4.2.9-1
•	SWIFT ISO20022 SAG Gateway 1.3.2.10
</t>
  </si>
  <si>
    <t>Snapshot BNP20</t>
  </si>
  <si>
    <t>Europe</t>
  </si>
  <si>
    <t>Charles Codo</t>
  </si>
  <si>
    <t>Y - inquiry only</t>
  </si>
  <si>
    <t xml:space="preserve">3/4: Tech go-live with MTS and UPF
</t>
  </si>
  <si>
    <t>Go-live with final bundle 2/18-19</t>
  </si>
  <si>
    <t>Citizens</t>
  </si>
  <si>
    <t>Kimberly Weathers</t>
  </si>
  <si>
    <t>5.8.57.0 FP5</t>
  </si>
  <si>
    <t>MTS back end processes start 5:45am ET and 6:30am ET interfaces are started and SWIFT connection comes up at 7:20am ET.  Open for Business at 8:30am ET when VRU opens up.</t>
  </si>
  <si>
    <t>TBD</t>
  </si>
  <si>
    <t>CTZ has signed for 2,600 hours of ISO project work for a 24 month term.  Project kickoff is late March / early April 2023.</t>
  </si>
  <si>
    <t xml:space="preserve"> Project kickoff is late March / early April 2023.  Detailed timeline yet to be determined. They have said they want Fed ISO by Nov 2023.  For March 2023 they will be on July 5.8.57 Fix Pack 5.</t>
  </si>
  <si>
    <t>CNB</t>
  </si>
  <si>
    <t>5.8.57.0 FP6</t>
  </si>
  <si>
    <t>FP6</t>
  </si>
  <si>
    <t>Not yet, but trying to get setup in UP</t>
  </si>
  <si>
    <t xml:space="preserve">SAA  </t>
  </si>
  <si>
    <t>Pacific Time Zone</t>
  </si>
  <si>
    <t>5am PT</t>
  </si>
  <si>
    <t>Nov 12 completed with FP6 mandates on (hit an issues with admin verify function with code dark)
2/7/2023 - UPF TEST and PREPROD are configured and bank is testing UPF in TEST.  PREPROD integration to UPF not setup yet.  CNB is in the process of setting up UPF DR.</t>
  </si>
  <si>
    <t xml:space="preserve">CNB will not use UP for March 2023 and will continue to use the SWIFT translator for March 2023. For March 2023,  they will be on July 5.8.57 Fix Pack 6. </t>
  </si>
  <si>
    <t>Fifth Third</t>
  </si>
  <si>
    <t>Not ready to start install of UPF - DELAYED</t>
  </si>
  <si>
    <t>First Hawaiian</t>
  </si>
  <si>
    <t>Danielle Gleason</t>
  </si>
  <si>
    <t>AOD</t>
  </si>
  <si>
    <t>SWIFT Lite2</t>
  </si>
  <si>
    <t>Plan D</t>
  </si>
  <si>
    <t>Hawaiian</t>
  </si>
  <si>
    <t>Nov 19.  - AOD, they only see MTS.  UP is running SWIFTlite2</t>
  </si>
  <si>
    <t>AOD, they only see MTS. UP is running on SWIFTlite 2</t>
  </si>
  <si>
    <t>First Horizon/First Tennesee</t>
  </si>
  <si>
    <t>Christy Diffy</t>
  </si>
  <si>
    <t>6.8.57.0 FP5</t>
  </si>
  <si>
    <t>ISO Phase 6f/October 17:
APSF Conntrol Center 5.0.2-09
Control Center's RTPF Plugin 3.2.9.6
MCAS 5.0.2-20
ICE-XS 06.00.2.25
MCAS IPF Cartridges 3.2.9.6
SWIFT SAG (IF040) 1.3.2.7
MTS Adapter (IF042) 1.5.3.4 , MTS Baseline 1.5.3.4-1 - Patched for GM Looping
RTPS Bank Adapter (IF046) 1.2.0.2</t>
  </si>
  <si>
    <t>Request PD to backport?</t>
  </si>
  <si>
    <t>SAG</t>
  </si>
  <si>
    <t>Plan B</t>
  </si>
  <si>
    <t xml:space="preserve">MTS comes up around 6:30am CT after the balance file loads. Wire Transfer Team begins their start of day processes at 7:00 AM CT. 
</t>
  </si>
  <si>
    <t xml:space="preserve">MTS Go-Live on Jan 21st
UPF Go-Live on Feb 11th
APSF Conntrol Center 5.0.2-09
Control Center's RTPF Plugin 3.2.9.6
MCAS 5.0.2-14
ICE-XS 06.00.2.13
MCAS IPF Cartridges 3.2.9.6
SWIFT SAG (IF040) 1.3.2.7
MTS Adapter (IF042) 1.5.3.4
RTPS Bank Adapter (IF046) 1.2.0.2
</t>
  </si>
  <si>
    <t>First Horizon went live in Producion on FP5 - As of March 20, 2023 Frost will still be on FP5</t>
  </si>
  <si>
    <t>FNBO</t>
  </si>
  <si>
    <t>Julie Harvey</t>
  </si>
  <si>
    <t>5.8.59 (Dec)</t>
  </si>
  <si>
    <t>PH7 (21-Dec Release)    
   APSF Control Center: 5.0.2-09
   Control Center's RTPG Plugin:  3.2.11.0
   MCAS:  5.0.2-18
   ICE-XS:  ICEXS-06.00.2.19
   MCAS IPF Cartridges:  3.2.11.0
   SWIFT SAA (IF06):  1.4.2.8
   MTS Adapter (IF042):  1.5.4.0
   RTPS Bank Adapter (IF046): 1.2.0.2</t>
  </si>
  <si>
    <t>Potential Solution - 5.0.2._20 w/hotfix and latest ICE</t>
  </si>
  <si>
    <t>5.8.59 (Dec SP)</t>
  </si>
  <si>
    <t>Installed
Not used</t>
  </si>
  <si>
    <t>North America
EST</t>
  </si>
  <si>
    <t xml:space="preserve">6:30 AM ET (SOD)
Processigng starts at 7AM, stops at 6PM
</t>
  </si>
  <si>
    <t>Allan Ramsey</t>
  </si>
  <si>
    <t>3/1/2023 (5.8.59)</t>
  </si>
  <si>
    <t>Y - Inquiry Only</t>
  </si>
  <si>
    <t xml:space="preserve">Mar 1 2023  - MTS upgrade (Dec SP)
UPF expected 3/18 - No GM
     </t>
  </si>
  <si>
    <t>Plan C fully tested and "on the shelf" 
Preparations for Plan B in progress and expect to proceed.
Detailed discussion on Go Live tasks expected 2/27</t>
  </si>
  <si>
    <t>Frost National</t>
  </si>
  <si>
    <t>ISO Phase 6f/October 17
APSF Conntrol Center 5.0.2-09
Control Center's RTPF Plugin 3.2.9.6
MCAS 5.0.2-14
ICE-XS 06.00.2.13
MCAS IPF Cartridges 3.2.9.6
SWIFT SAG (IF040) 1.3.2.7
MTS Adapter (IF042) 1.5.3.4
RTPS Bank Adapter (IF046) 1.2.0.2</t>
  </si>
  <si>
    <t>MTS open at 7:00am/CT</t>
  </si>
  <si>
    <t xml:space="preserve">Nov 10th - validation in progress - 11/15 - Completed
APSF Conntrol Center 5.0.2-09
Control Center's RTPF Plugin 3.2.9.6
MCAS 5.0.2-14
ICE-XS 06.00.2.13
MCAS IPF Cartridges 3.2.9.6
SWIFT SAG (IF040) 1.3.2.7
MTS Adapter (IF042) 1.5.3.4
RTPS Bank Adapter (IF046) 1.2.0.2
</t>
  </si>
  <si>
    <t>Frost went live in Producion on FP5 - As of March 20, 2023 Frost will still be on FP5</t>
  </si>
  <si>
    <t>Huntington National Bank</t>
  </si>
  <si>
    <t xml:space="preserve">ISO Phase 6f/October 17:
  APSF Control Center: 5.0.2-09
  Control Center RTPF Plugin: 3.2.9.6
  MCAS: 5.0.2-14
  ICE-XSL ICEXS-06.00.2.13
  MCAS IPF Cartrdiges:  3.2.9.6
  SWIFT SAG (IF040): 1.3.2.7
  MTS Adapter (IF)42): 1.5.3.4
</t>
  </si>
  <si>
    <t>1/7 (UPF)</t>
  </si>
  <si>
    <t xml:space="preserve">Nov 19 2022 - MTS only UPF Off
Jan 7 2023 - UPF implemented
Mar 19 2023 - Scheduled loopback test (8-9 EST)
FP5:
     MCAS 5.0.2-14
     MCAS IPF Cartridges:  3.2.9.6
     MTS Adapter:  1.5.3.004
</t>
  </si>
  <si>
    <r>
      <rPr>
        <sz val="11"/>
        <color rgb="FF000000"/>
        <rFont val="Calibri"/>
        <family val="2"/>
      </rPr>
      <t xml:space="preserve">HNB validated end-to-end with MTS Prod and UPF off-hours in Dec.
Completed installation in January and on hold until Mar 19.
</t>
    </r>
    <r>
      <rPr>
        <sz val="11"/>
        <color rgb="FFFF0000"/>
        <rFont val="Calibri"/>
        <family val="2"/>
      </rPr>
      <t xml:space="preserve">Call Sun 3/19 8-9AM EDT will validate SWIFT Setup of InputChannel for Prod  </t>
    </r>
  </si>
  <si>
    <t>Mizuho</t>
  </si>
  <si>
    <t>SAA for their Plan E;  will be SAG for ACI solution.</t>
  </si>
  <si>
    <t>Plan E</t>
  </si>
  <si>
    <t>5:00 AM  ET (SOD)</t>
  </si>
  <si>
    <t>2/4 - MTS upgrade including components for Plan E (sysem profile, config updates) 
2/25 - SAA upgrade
 UPF - Still TBD</t>
  </si>
  <si>
    <t xml:space="preserve">While UPF is still not scheduled, MTS upgrade in Feb included updates to MQ channels, message queues for UPF interfaces to keep environments in sync.
</t>
  </si>
  <si>
    <t>MUFG/Union</t>
  </si>
  <si>
    <t xml:space="preserve">BAU Business day starts 8pmPT for next bus day.
On 3/19/23
8:00 pm PT         - Connect to FED for validation and then bring down the connection
8:30 pm PT         - Connect to SWIFT FIN &amp; FIN Plus
11:30 pm PT       - Connect to FED
3/20/23
2:30 am PT         - Connect to CHIPS
7:30 pm PT         - COB, Roll the date and run EOD
</t>
  </si>
  <si>
    <t xml:space="preserve">Not ACI - ISO. MTS go live 19 Nov 2022 on July Fix Pack 5.  ISO has been disabled and CHIPS format turned off.  Deployed all ISO changes but did not enable it, including new SWIFT adapters.  </t>
  </si>
  <si>
    <t>MUFG installed July FP 5 on 19 Nov 2022 in PROD and will go live on that.  On 18 March 2023,  system profiles will be activated for ISO to be "on" for incoming messages however may have some pass thru messages to Fed with MX format. Using SWIFT translator with SWIFT custom code for MUFG to receive the MT format and using the 77T field.  In Q2, US Bank will take the MUFG traffic and migrate into their systems to process.  No more Service Packs will be installed for the March ISO go live.
Nov 2023 SWIFT go live will be on US Bank, MUFG will have no work required for MTS on this go live event.</t>
  </si>
  <si>
    <t>NTP</t>
  </si>
  <si>
    <t>ISO Phase 7/December</t>
  </si>
  <si>
    <t>Potential Solution - 5.0.2._20 w/hotfix and latest ICE
Working with Cam to get them installed</t>
  </si>
  <si>
    <t>Dec '22</t>
  </si>
  <si>
    <t>AMH</t>
  </si>
  <si>
    <t>no</t>
  </si>
  <si>
    <t>UK</t>
  </si>
  <si>
    <t xml:space="preserve">CBPR+ &amp; RITS  EDT: Sunday,
March 19, 2023
6:15 PM
Target2 EDT:  
Monday,
March 20, 2023
4:30 AM
</t>
  </si>
  <si>
    <t xml:space="preserve">No Control Center, No bank adapter
CBPR+ and RITS for March '23
Pre installed Feb 17. 2023. No control center
 UPF Components:
•• APSF: 5.0.2.9 
• IP/Control Center’s RTPF Plugin: 3.2.11.1
• UPP:5.0.2-18-UC-008 (as observed from the summariseusercartridge output)
• MCAS: 5.0.2-17 (as observed from the summariseusercartridge output)
• ICE-XS: ICE-XS 6.0.2.19
• MCAS IPF Cartridges: 3.2.11.0
• SWIFT SAA (IF036): 1.4.2.8  n/a
• SWIFT SAG (IF040): 1.3.2.9 n/a
• MTS Adapter (IF042): 1.5.4.0
• RTPS Bank Adapter (IF046): 1.2.0.2  n/a
</t>
  </si>
  <si>
    <t>April '23 deply will be for Chaps, dates TBD
Bank not using bank adapter but has future plans for it, no date as of now.</t>
  </si>
  <si>
    <t>NTC</t>
  </si>
  <si>
    <t>FP3</t>
  </si>
  <si>
    <t>Central</t>
  </si>
  <si>
    <t>Oct 22.
NTC will next focus on Chips, now April '24.</t>
  </si>
  <si>
    <t>Already live - Not using UP/all iso going through NTP</t>
  </si>
  <si>
    <t>Regions</t>
  </si>
  <si>
    <t>Using a SWIFT bureau (live for many years) who are performing the translation using a local SAA</t>
  </si>
  <si>
    <t>Standard Chartered (JP)</t>
  </si>
  <si>
    <t xml:space="preserve">SCJ12 Dec 5.8.59 Snapshot (as of 25 Feb 2023)   </t>
  </si>
  <si>
    <t>New software and UPF reactivation 25th Feb.
MTS 5.8.59 Dec Snapshot
APSF Control Center - 5.0.2.9
RTPF(IP) Plugin - 3.2.11.1
MCAS - 5.0.2-20
ICE-XS for UP- ICEXS-06.00.2.25-Linux64
MCAS IPF Cartridges - 3.2.11.0
SWIFT SAA Cartridges - 1.4.2.008
MTS Adapter Cartridges - 1.5.4.000</t>
  </si>
  <si>
    <t>Workaround in Place</t>
  </si>
  <si>
    <t>UP previously activated and then deactived do resolve a number of defects and operational issues. New software and UPF reactivation 25th Feb.
MTS 5.8.59 Dec Snapshot
APSF Control Center - 5.0.2.9
RTPF(IP) Plugin - 3.2.11.1
MCAS - 5.0.2-20
ICE-XS for UP- ICEXS-06.00.2.25-Linux64
MCAS IPF Cartridges - 3.2.11.0
SWIFT SAA Cartridges - 1.4.2.008
MTS Adapter Cartridges - 1.5.4.000</t>
  </si>
  <si>
    <t>Standard Chartered (UK)</t>
  </si>
  <si>
    <t>SCG22 MTS 5.8.59 Dec Snapshot delivered 31 Mar 2023. Bundle 173</t>
  </si>
  <si>
    <t>UP previously activated and then deactived do resolve a number of defects and operational issues. New software and UPF reactivation 25th Feb
MTS 5.8.59 Dec Snapshot
APSF Control Center - 5.0.2.9
RTPF(IP) Plugin - 3.2.11.1
MCAS - 5.0.2-20
ICE-XS for UP- ICEXS-06.00.2.25-Linux64
MCAS IPF Cartridges - 3.2.11.0
SWIFT SAA Cartridges - 1.4.2.008
MTS Adapter Cartridges - 1.5.4.000</t>
  </si>
  <si>
    <t>Standard Chartered (US)</t>
  </si>
  <si>
    <t xml:space="preserve"> SCB08 Dec 5.8.59 Snapshot (as of 22 Mar 2023)  Bundle 60</t>
  </si>
  <si>
    <t>UP previously activated and then deactived do resolve a number of defects and operational issues. New software and UPF reactivation 4th Mar
MTS 5.8.59 Dec Snapshot
APSF Control Center - 5.0.2.9
RTPF(IP) Plugin - 3.2.11.1
MCAS - 5.0.2-20
ICE-XS for UP- ICEXS-06.00.2.25-Linux64
MCAS IPF Cartridges - 3.2.11.0
SWIFT SAG Cartridges - 1.3.2.009
MTS Adapter Cartridges - 1.5.4.000</t>
  </si>
  <si>
    <t>State Street</t>
  </si>
  <si>
    <t>Wanda Shurson</t>
  </si>
  <si>
    <t>6.8.60</t>
  </si>
  <si>
    <t>ISO_Jan23</t>
  </si>
  <si>
    <r>
      <rPr>
        <sz val="11"/>
        <color rgb="FF000000"/>
        <rFont val="Calibri"/>
        <family val="2"/>
      </rPr>
      <t xml:space="preserve">MTS 6.8.60
</t>
    </r>
    <r>
      <rPr>
        <strike/>
        <sz val="11"/>
        <color rgb="FF000000"/>
        <rFont val="Calibri"/>
        <family val="2"/>
      </rPr>
      <t>FP5/</t>
    </r>
    <r>
      <rPr>
        <sz val="11"/>
        <color rgb="FF000000"/>
        <rFont val="Calibri"/>
        <family val="2"/>
      </rPr>
      <t xml:space="preserve">  Jan SP</t>
    </r>
  </si>
  <si>
    <t>SWIFT SAA (IF036):  1.4.2.9</t>
  </si>
  <si>
    <t>Plan B (Plan A June)</t>
  </si>
  <si>
    <t xml:space="preserve">Mar 19 6PM ET </t>
  </si>
  <si>
    <r>
      <rPr>
        <sz val="11"/>
        <color rgb="FF000000"/>
        <rFont val="Calibri"/>
        <family val="2"/>
      </rPr>
      <t xml:space="preserve">2/23/2023 complete
</t>
    </r>
    <r>
      <rPr>
        <strike/>
        <sz val="11"/>
        <color rgb="FF000000"/>
        <rFont val="Calibri"/>
        <family val="2"/>
      </rPr>
      <t>11/5/2022 - Completed</t>
    </r>
  </si>
  <si>
    <r>
      <t xml:space="preserve">2/17 test complete, 2/23 Prod Deploy.  
MTS 6.8.60 
</t>
    </r>
    <r>
      <rPr>
        <b/>
        <sz val="11"/>
        <color rgb="FF000000"/>
        <rFont val="Calibri"/>
        <family val="2"/>
      </rPr>
      <t xml:space="preserve">UPF ISO_Jan23 (pending confirmation 2/22):
</t>
    </r>
    <r>
      <rPr>
        <sz val="11"/>
        <color rgb="FF000000"/>
        <rFont val="Calibri"/>
        <family val="2"/>
      </rPr>
      <t xml:space="preserve">•	APSF Control Center: 5.0.2-11
•	Control Center’s RTPF Plugin:  3.2.13.0
•	MCAS:  5.0.2-18
•	ICE-XS:  ICEXS-06.00.2.19
•	MCAS IPF Cartridges:  3.2.13.0
•	SWIFT SAA (IF036):  1.4.2.9
•	SWIFT SAG (IF040): N/A
•	MTS Adapter (IF042):  1.5.5.0
•	RTPS Bank Adapter (IF046): N/A
</t>
    </r>
  </si>
  <si>
    <r>
      <rPr>
        <b/>
        <sz val="11"/>
        <color rgb="FF000000"/>
        <rFont val="Calibri"/>
        <family val="2"/>
      </rPr>
      <t xml:space="preserve">3/10: On Call support 3/19 for LYNX test/validation.
3/9: Confirmed patches for GM on top of JanSP delivered.  Pending test/prod deploy timeline following 3/20 GoLive
</t>
    </r>
    <r>
      <rPr>
        <sz val="11"/>
        <color rgb="FF000000"/>
        <rFont val="Calibri"/>
        <family val="2"/>
      </rPr>
      <t xml:space="preserve">3/9: Mtg sched with SS 4:30PM ET to review GM resolution timeline
3/6: RITS testing successful
3/5: LYNX testing successful
2/28: Internal Mtg 3/2 to review GM issues and determine ISO_Jan23 vs ISO_Feb23
2/9:  updated timeline received from State Street (SSG).  </t>
    </r>
  </si>
  <si>
    <t>Truist</t>
  </si>
  <si>
    <t>ISO Phase 6g/October 31</t>
  </si>
  <si>
    <t xml:space="preserve">y </t>
  </si>
  <si>
    <t>FP6 went into prod. 06 of Feb. with corresponding. UP for limited CC uses (inquiry nly) ISO Golive, the bank will enable ISO processing via standard PRULE updates within application</t>
  </si>
  <si>
    <t>original plan for golive</t>
  </si>
  <si>
    <t>UMB Bank</t>
  </si>
  <si>
    <t>Yellow</t>
  </si>
  <si>
    <t>Wells</t>
  </si>
  <si>
    <t xml:space="preserve"> k</t>
  </si>
  <si>
    <t xml:space="preserve">Cam will work with wells to get them installed for their iso phase </t>
  </si>
  <si>
    <t>FP4</t>
  </si>
  <si>
    <t>other (SMH)</t>
  </si>
  <si>
    <t>11/20 - No UPF
code installed in January already with snapshot built on FP4 for both emts and gmts, No UP, No ISO, translation only - march 29 is turn on only, no code install
6/23/23: Plan B ISO Target release is 6/23/23 weekend with Jan SP base for both MTS and UP, probably a snapshot. - Starting to test bank adapter, target for go live for bank adapter tbd.</t>
  </si>
  <si>
    <t>Wells original plan was going live with Plan B in March -Wells will now go live with plan c in March '23 and looking to go to plan B in June 2023</t>
  </si>
  <si>
    <t>Zions</t>
  </si>
  <si>
    <t>Using an SAA to perform translation</t>
  </si>
  <si>
    <t>BMO (Bank of Montreal)</t>
  </si>
  <si>
    <t>Swift Gateway 2.0.0.1</t>
  </si>
  <si>
    <t>BMO Specific - UPF 4.0</t>
  </si>
  <si>
    <t>3/4/2023 &amp; 3/18/2023</t>
  </si>
  <si>
    <t>Technical Go-Live 3/4
UPF 4.0.0.45.2 / IPF 2.6.6.x</t>
  </si>
  <si>
    <r>
      <rPr>
        <b/>
        <sz val="11"/>
        <color rgb="FF000000"/>
        <rFont val="Calibri"/>
        <family val="2"/>
      </rPr>
      <t xml:space="preserve">3/13: BMO is not planning to install the hotfix (for ctx.comm_address) prior to Mar 20 cutover.  GM will remain enabled in production 
</t>
    </r>
    <r>
      <rPr>
        <sz val="11"/>
        <color rgb="FF000000"/>
        <rFont val="Calibri"/>
        <family val="2"/>
      </rPr>
      <t>3/4: Tech GoLive completed, H24 supporting Production environment
2/13: TARGET Tech Go-Live for Swift Gateway 2.0.0.1 on March 4</t>
    </r>
  </si>
  <si>
    <t>FED ISO Program Updates</t>
  </si>
  <si>
    <t>Technical Go Live Status (If applicable)</t>
  </si>
  <si>
    <t>Connectivity Test</t>
  </si>
  <si>
    <t>7:45PM Unsolicited Balance (CAMT52)</t>
  </si>
  <si>
    <t>8:30PM Non-Financial Messages</t>
  </si>
  <si>
    <t>9:00PM Payment Messages (7)</t>
  </si>
  <si>
    <t>12am Payment Messages</t>
  </si>
  <si>
    <r>
      <rPr>
        <b/>
        <sz val="11"/>
        <color rgb="FFFFFFFF"/>
        <rFont val="Calibri"/>
      </rPr>
      <t>Project Status using Drop Down (Green</t>
    </r>
    <r>
      <rPr>
        <sz val="9"/>
        <color rgb="FFFFFFFF"/>
        <rFont val="Calibri"/>
      </rPr>
      <t xml:space="preserve">, </t>
    </r>
    <r>
      <rPr>
        <b/>
        <sz val="9"/>
        <color rgb="FFFFFFFF"/>
        <rFont val="Calibri"/>
      </rPr>
      <t>Amber</t>
    </r>
    <r>
      <rPr>
        <sz val="9"/>
        <color rgb="FFFFFFFF"/>
        <rFont val="Calibri"/>
      </rPr>
      <t xml:space="preserve">, </t>
    </r>
    <r>
      <rPr>
        <b/>
        <sz val="9"/>
        <color rgb="FFFFFFFF"/>
        <rFont val="Calibri"/>
      </rPr>
      <t>Red)</t>
    </r>
  </si>
  <si>
    <t>As of Date, Time</t>
  </si>
  <si>
    <t>Status Summary/Notes</t>
  </si>
  <si>
    <t># Fed Inbound Transactions</t>
  </si>
  <si>
    <t># Fed Outbound Transactions</t>
  </si>
  <si>
    <t>ACI Support Requested</t>
  </si>
  <si>
    <t>SF P1 Cases</t>
  </si>
  <si>
    <t>SF P2 Cases</t>
  </si>
  <si>
    <t>SF P3 Cases</t>
  </si>
  <si>
    <t>Next Status Update</t>
  </si>
  <si>
    <t>Comerica Bank</t>
  </si>
  <si>
    <t>Bank of America</t>
  </si>
  <si>
    <t>Citizens Bank</t>
  </si>
  <si>
    <t>Northern Trust Bank - New York NTC</t>
  </si>
  <si>
    <t>Truist Bank</t>
  </si>
  <si>
    <t>Wells (EMTS-WEL)</t>
  </si>
  <si>
    <t>Wells (GMTS-WFI)</t>
  </si>
  <si>
    <t>Mizuho Bank</t>
  </si>
  <si>
    <t>First Horizon Bank</t>
  </si>
  <si>
    <t>UMB Bank N.A.</t>
  </si>
  <si>
    <t>Federal Home Loan Bank-NY</t>
  </si>
  <si>
    <t>Fifth Third Bank</t>
  </si>
  <si>
    <t>Frost National Bank</t>
  </si>
  <si>
    <t>State Street Domestic</t>
  </si>
  <si>
    <t>Zions Management Services Company</t>
  </si>
  <si>
    <t>Standard Chartered Bank New York</t>
  </si>
  <si>
    <t>Agricultural Bank of China</t>
  </si>
  <si>
    <t>City National Bank</t>
  </si>
  <si>
    <t>First National Bank of Omaha</t>
  </si>
  <si>
    <t>Federal Home Loan Bank of Atlanta</t>
  </si>
  <si>
    <t>DnB Nor - NY Branch</t>
  </si>
  <si>
    <t>Federal Home Loan Bank-Cincinnati</t>
  </si>
  <si>
    <t>Federal Home Loan Bank-Des Moines</t>
  </si>
  <si>
    <t>First Hawaiian Bank</t>
  </si>
  <si>
    <t>Flushing Savings Bank</t>
  </si>
  <si>
    <t>Type</t>
  </si>
  <si>
    <t>SM/PM</t>
  </si>
  <si>
    <t>Timezone</t>
  </si>
  <si>
    <t>Start Business Day Time (What time do they start their day?)</t>
  </si>
  <si>
    <t>End Business Day Time (What time do they end their day)</t>
  </si>
  <si>
    <t>Expected First Transaction Timeframe (What time will we see the first financial transaction?)</t>
  </si>
  <si>
    <t>Support Days Needed</t>
  </si>
  <si>
    <t>Support Times</t>
  </si>
  <si>
    <t>Technical Go-LIVE Target Date/Complete Date</t>
  </si>
  <si>
    <t>Technical Go Live Start and end Time</t>
  </si>
  <si>
    <t xml:space="preserve">Control Center Usage </t>
  </si>
  <si>
    <t>Date Go Live Implementation Plan Provided or when will it be provided</t>
  </si>
  <si>
    <t>AOP</t>
  </si>
  <si>
    <t>Agricultural Bank of China (ABC)</t>
  </si>
  <si>
    <t>Denise</t>
  </si>
  <si>
    <t>Dayro</t>
  </si>
  <si>
    <t>ET</t>
  </si>
  <si>
    <t>9:00 PM (MTS date is the next business date)</t>
  </si>
  <si>
    <t>It depends when Operations end all the daily transactions, normally between 5:30 PM to 6:30 PM</t>
  </si>
  <si>
    <t>11/23 9:00 PM (Value date is the next business date)</t>
  </si>
  <si>
    <t>11/21 &amp; 11/23</t>
  </si>
  <si>
    <t>11/21 at 7pm - 11pm
11/23 at 6pm - 10pm</t>
  </si>
  <si>
    <t>Complete</t>
  </si>
  <si>
    <t>Control Center is always on (IT will shutdown the MQ channel during the go-live weekend).</t>
  </si>
  <si>
    <t>Andrea/Nasser</t>
  </si>
  <si>
    <t>9pm Sunday 11/23</t>
  </si>
  <si>
    <t>8pm</t>
  </si>
  <si>
    <t>11/20-12/8</t>
  </si>
  <si>
    <t>24/7 call in's still TBD by BOA</t>
  </si>
  <si>
    <t>CHP/FED Admin Only</t>
  </si>
  <si>
    <t>BNPPF</t>
  </si>
  <si>
    <t>Charles</t>
  </si>
  <si>
    <t>Luc Lippens</t>
  </si>
  <si>
    <t>CET</t>
  </si>
  <si>
    <t>3AM CET Monday morning</t>
  </si>
  <si>
    <t>11/24 03:00AM CET</t>
  </si>
  <si>
    <t>11/23: penny testing with BOE/CHAPS between 08:30AM - 17:00PM CET
11/24: gradual release activation from 2AM CET onwards</t>
  </si>
  <si>
    <t>Snapshot BNP40 was activated in production 25-26 October</t>
  </si>
  <si>
    <t>Limited to consultation only for now</t>
  </si>
  <si>
    <t>Christy</t>
  </si>
  <si>
    <t xml:space="preserve">3am. Back End Start of Day Process will be run at 3am EST on 11/24.
            Connectivity of some interfaces including FED connection will be enabled ~3:20am EST.
            Connectivity of remaining interfaces including SWIFT will be enabled ~5:40am EST.
</t>
  </si>
  <si>
    <t xml:space="preserve">7pm. Planned end time to bring down our connections in MTS is 7pm EST (corresponding with the Fed closure).  If the Fed has an extension, we will remain processing/up until the Fed closes.
Backend End of Day processes will begin approximately 10-15 minutes after our connections have been brought down (~7:10-7:15pm EST). 
</t>
  </si>
  <si>
    <t>3:20am. Once our Fed connections are enabled at ~3:20am EST, we will start to receive inbound traffic from the Fed and our first financial transaction will more than likely be received around this timeframe.</t>
  </si>
  <si>
    <t>11/21 at 10pm - 11:59pm
11/23 at 8am - 12pm</t>
  </si>
  <si>
    <t>NA</t>
  </si>
  <si>
    <t>Control Center usage – Payment Search/Inquiries, and FED ISO Admin messages</t>
  </si>
  <si>
    <t>City National Bank (CNB)</t>
  </si>
  <si>
    <t>PST</t>
  </si>
  <si>
    <t>6:00pm EOD starts</t>
  </si>
  <si>
    <t>Sunday evening flip flag; Monday morning</t>
  </si>
  <si>
    <t>Comerica</t>
  </si>
  <si>
    <t>6:00 AM ET</t>
  </si>
  <si>
    <t>8:00 PM ET</t>
  </si>
  <si>
    <t>6:20 AM ET</t>
  </si>
  <si>
    <t>11/22 at 6am - 1pm</t>
  </si>
  <si>
    <t xml:space="preserve">Inquiry transactions 
Investigation Returns 
Investigation Rejects 
   NOTE:  Entry, Verify, Repair, Verify Callback and Exceptions is still being done using MTS.     
</t>
  </si>
  <si>
    <t>2:35 AM EST</t>
  </si>
  <si>
    <t>7 PM EST</t>
  </si>
  <si>
    <t xml:space="preserve">We’ll receive inbound FED wires when we come up at 2:30 am on Monday the 24th.  We also normally have a few outbound wires around the same time.
With respect to the SAB wires that will start flowing through the SAA Gateway to UPF, that will start around 6:30 am.  It could potentially be earlier since they should flow into UPF as soon as they are received into SWIFT Alliance Access from the SWIFT Network.
</t>
  </si>
  <si>
    <t>Bussines hours</t>
  </si>
  <si>
    <t>Only for inquiry or FED/CHP Administrative messages.</t>
  </si>
  <si>
    <t>First Hawaiian Bank (AOD)</t>
  </si>
  <si>
    <t>Stephen</t>
  </si>
  <si>
    <t>Stephanie</t>
  </si>
  <si>
    <t>CST</t>
  </si>
  <si>
    <t>6:45am</t>
  </si>
  <si>
    <t>8:00pm EOD starts</t>
  </si>
  <si>
    <t>Saturday for code deployment; Sunday evening flip flag; Monday morning</t>
  </si>
  <si>
    <t>8:00 - 3:00 Saturday</t>
  </si>
  <si>
    <t>Not provided yet</t>
  </si>
  <si>
    <t>First National Bank of Omaha (FNBO)</t>
  </si>
  <si>
    <t>Jason</t>
  </si>
  <si>
    <t>CT</t>
  </si>
  <si>
    <t>8:00AM</t>
  </si>
  <si>
    <t>5:00PM</t>
  </si>
  <si>
    <t>y</t>
  </si>
  <si>
    <t>7:00am</t>
  </si>
  <si>
    <t>6:30pm EOD starts</t>
  </si>
  <si>
    <t>Nisha</t>
  </si>
  <si>
    <t>EST</t>
  </si>
  <si>
    <t>2:00PM</t>
  </si>
  <si>
    <t>7:30PM</t>
  </si>
  <si>
    <t>7:30AM</t>
  </si>
  <si>
    <t>11/21/25 9:00AM - 11/22/2025 11:59PM</t>
  </si>
  <si>
    <t>Payment Search/Inquiry &amp; FED ISO Admin</t>
  </si>
  <si>
    <t>Northern Trust Bank - NTC</t>
  </si>
  <si>
    <t>11:00pm</t>
  </si>
  <si>
    <t>7 PM CT, Mon-Fri
NTP APAC EOD is 8 AM CT, Sun-Fri, EMEA EOD is 6 PM CT, Sun-Fri.</t>
  </si>
  <si>
    <t>11/24/2025 6:00am</t>
  </si>
  <si>
    <t>Republic Bank (AOD)</t>
  </si>
  <si>
    <t>Standard Chartered Bank New York (SCB, SCG, SCJ )</t>
  </si>
  <si>
    <t>Ka Fui</t>
  </si>
  <si>
    <t>Kheng Teong, Junaid</t>
  </si>
  <si>
    <t>11/22 11PM EST</t>
  </si>
  <si>
    <t>11/21 to 11/23</t>
  </si>
  <si>
    <t>11/21 at 8pm - 11/23 11am</t>
  </si>
  <si>
    <t>State Street Bank (Global/Domestic)</t>
  </si>
  <si>
    <t>Oscar Herrera</t>
  </si>
  <si>
    <t>11/24/2025  EST 3:00 PM
11/22 /2025
11/23/2025
11/24/2025</t>
  </si>
  <si>
    <t>11/22/25-8:00AM - 11/23/24-4:00 PM</t>
  </si>
  <si>
    <t>Admin messages only; not for exceptions or repairs</t>
  </si>
  <si>
    <t>4:00AM</t>
  </si>
  <si>
    <t>7:00PM</t>
  </si>
  <si>
    <t>11/21/2025
11/22 /2025
11/23/2025
11/24/2025</t>
  </si>
  <si>
    <t xml:space="preserve">11/21 – 7PM – 11:59PM
11/22 – 12PM – 5PM
11/23 – 3PM – 5PM
11/24 – 2AM – 11:59PM
</t>
  </si>
  <si>
    <t>11/21/25-7:00PM - 11/23/24-7:30AM</t>
  </si>
  <si>
    <t>Wells (EMTS-WEL/GMTS-WFI)</t>
  </si>
  <si>
    <t>Celia</t>
  </si>
  <si>
    <t>gmts sun 11/23 @9:00 pm
emts Mon 11/24 @ 4:30 am</t>
  </si>
  <si>
    <t>Bank will perform penny transactions on 11/22 at 2:00 pm, else see sod times</t>
  </si>
  <si>
    <t>11/21, 22, 23, and 24</t>
  </si>
  <si>
    <t xml:space="preserve">11/21 - 9:00 PM	11/22 - 8:30 PM
11/23/25 8:00am	 11/23/2025  11:59:00 AM
</t>
  </si>
  <si>
    <t>11/21 7:30 through 11/22 4:00</t>
  </si>
  <si>
    <t>admin only and inquiry</t>
  </si>
  <si>
    <t>already provided (final provided 11/19)</t>
  </si>
  <si>
    <t>MST</t>
  </si>
  <si>
    <t>6:00am</t>
  </si>
  <si>
    <t>Instructions:</t>
  </si>
  <si>
    <r>
      <t>1) Please ensure all go-live cases created include '</t>
    </r>
    <r>
      <rPr>
        <b/>
        <sz val="12"/>
        <color theme="1"/>
        <rFont val="Calibri"/>
        <family val="2"/>
        <scheme val="minor"/>
      </rPr>
      <t>GO_LIVE_CASE</t>
    </r>
    <r>
      <rPr>
        <b/>
        <sz val="11"/>
        <color theme="0"/>
        <rFont val="Calibri"/>
        <family val="2"/>
        <scheme val="minor"/>
      </rPr>
      <t>' label, both goJira and PDJira - each case should have its own row</t>
    </r>
  </si>
  <si>
    <t>2) Detail is not necessary - but would like status to be either 'Green' = Experiencing no issues, processing, 'Yellow' = Has one or more P2 open issues, 'Red' = Has ar least one P1 opened.</t>
  </si>
  <si>
    <t>3)  This will be updated by Lolita Florence, based on the Jira Dashboard but the PMs can add any additional details
4)  Dashboard - https://gojira.am.tsacorp.com/secure/Dashboard.jspa?selectPageId=124100</t>
  </si>
  <si>
    <t xml:space="preserve">Bank </t>
  </si>
  <si>
    <t>Status</t>
  </si>
  <si>
    <t>H24 #</t>
  </si>
  <si>
    <t>RTPS #</t>
  </si>
  <si>
    <t>Priority</t>
  </si>
  <si>
    <t># Issues (P1, P2, P3)</t>
  </si>
  <si>
    <t>Last Check-In</t>
  </si>
  <si>
    <t>Owner</t>
  </si>
  <si>
    <t>Assistance  Needed</t>
  </si>
  <si>
    <t>Project Manager</t>
  </si>
  <si>
    <t>Notes/Descriptions</t>
  </si>
  <si>
    <t>Wells Fargo</t>
  </si>
  <si>
    <t>Resolved, Awaiting Customer Acceptance</t>
  </si>
  <si>
    <t>H24-683656</t>
  </si>
  <si>
    <t>2 - High</t>
  </si>
  <si>
    <t>Juan Mateus</t>
  </si>
  <si>
    <t>Wells Fargo upgraded their secondary data center to Patch 9, however when selecting the upgrade options they incorrectley selected the primary platform, causing an incorrect database to be selected.  Once the upgrade step was corrected, the installation suceeded sucessfully.</t>
  </si>
  <si>
    <t>Comerica - CMA</t>
  </si>
  <si>
    <t>Awaiting Customer Action</t>
  </si>
  <si>
    <t>H24-683661</t>
  </si>
  <si>
    <t>Ananth Rajah</t>
  </si>
  <si>
    <t>Periodically users are unable to access Control Center via SSO
CMA requested the project team support to join on a call this morning (July 12th). They were having issues with the Control Center SSO login. There were five major issues/errors identified since yesterday. Three of them were on Comerica to address, and ACI will investigate two. Although the impact of these issues on ACI is currently limited, they anticipate an increase as more CC operators access the CC via SSO Login.</t>
  </si>
  <si>
    <t>Bank of America - BOA</t>
  </si>
  <si>
    <t>H24-683666</t>
  </si>
  <si>
    <t>Cam Jackson</t>
  </si>
  <si>
    <t>7/13: 11:30pm - Nathan Brown joined to help analyze the latest Logs uploaded by BOA. ACI engaged this am to fix the work yesterday. The Default setting needed to be tweaked to include the -Doption not just changing the true/false. Tushar confirmed an exssiting case H24-607017 from 7/2024. 7/12: Cam and Siva fixed the issue, cartridge loaded and activated at 4:14pm ET.
Issues were tied to Attribute "rcvBufSize" has illegal value "-" and the missing R. Siva &amp; Jeff joined Cam after a soft escalation by Robin to Steve.  Additional info being uploaded to the ticket. Cam is currently triaging with Mansi and BOA team. RTPF- Unable to activate bofaendpoint cartridge in prod: Unable to activate bofaendpoint cartridge version 1.0.0.014 in production and getting this error
Enter MCAS password:
Error executing mcas command mcas/config insertUserCartridgeReferences cartridges=BOFA_ENDPOINTS:1.0.0.014 schemaUpdateMode=DISRUPTIVE_UPDATE - Failed to execute management command: Unable to define components</t>
  </si>
  <si>
    <t>H24-683707</t>
  </si>
  <si>
    <t>Carlos Castaneda</t>
  </si>
  <si>
    <t>7/13: "we've set up prod UPF with Lterm MMQFMPDH, but the payment message sent from prod shows our test code MMQFMCDH. FED confirmed our prod message sent to their test env because of the test code"
Issue reported by ABC at 9:42pm. Carlos provided guidance/support which the customer is following, seems to be configuration.</t>
  </si>
  <si>
    <t>Researching</t>
  </si>
  <si>
    <t>H24-683712</t>
  </si>
  <si>
    <t>Brian Winn</t>
  </si>
  <si>
    <t>Christy Diffey</t>
  </si>
  <si>
    <t>7/13/2025 Some FED Inbound messages are failing in MTS due to the error "OBI and BBI characters is too long".
They are leaving this a P2 and will let ACI know tomorrow if we can down grade it to a P3.</t>
  </si>
  <si>
    <t>FHLBNY</t>
  </si>
  <si>
    <t>Closed</t>
  </si>
  <si>
    <t>H24-683793</t>
  </si>
  <si>
    <t>7/14/2025 7:03AM</t>
  </si>
  <si>
    <t>Paula Boston</t>
  </si>
  <si>
    <t>7/14/2025: RHS is down with internal error disk.c.6327.  Production is up and processing.  Joint triage completed, root cause: Bank did a reboot of the system Saturday and RHS may have not been brought down.</t>
  </si>
  <si>
    <t>New</t>
  </si>
  <si>
    <t>H24-683810</t>
  </si>
  <si>
    <t>7/14/2025  7:29:00AM</t>
  </si>
  <si>
    <t>TBD still working with BOA</t>
  </si>
  <si>
    <t>7/14: we are still trying to understand the issue.  There are 500 trans rejecting w/the FED with E416 error</t>
  </si>
  <si>
    <t>CMA</t>
  </si>
  <si>
    <t>H24-683802</t>
  </si>
  <si>
    <t>3 - Medium</t>
  </si>
  <si>
    <t>7/14/2025  8:00:00AM</t>
  </si>
  <si>
    <t>7:14: This issue was due to missing columns in the db seed script with Patch 8 delivery. This was later fixed with a updated script.
After running the correct seed script, the issue is resolved.</t>
  </si>
  <si>
    <t>FTB</t>
  </si>
  <si>
    <t>H24-683822</t>
  </si>
  <si>
    <t>7/14/2025  8:40:00AM</t>
  </si>
  <si>
    <t>7:14: UPF RT DB MCAS_REJECT2 Table has System Malfunction for Drawdown pain.013
Review is ongoing. Carlos Castaneda and Anu Pandey are on the bridge call with the customer</t>
  </si>
  <si>
    <t>TFC</t>
  </si>
  <si>
    <t>Slotting</t>
  </si>
  <si>
    <t>H24-683799</t>
  </si>
  <si>
    <t>RTPS-98703</t>
  </si>
  <si>
    <t>Jean Harty</t>
  </si>
  <si>
    <t>Alnicia Howard</t>
  </si>
  <si>
    <t>Incoming Wires from the FED are going to Repair and have to be manually updated to ADV: LTR to process the transaction</t>
  </si>
  <si>
    <t>H24-683831</t>
  </si>
  <si>
    <t>We have observed an urgent issue after having togged FED ISO ON in production.
Incoming FED messages intended to get routed to GPP via SWG advice is generating MT910 credit confirmation message in FED ISO mode whereas it was generating MT103 or MT202 in Legacy mode which is causing issues in LME downstream application.
We have noticed that for FED ISO message, only CDT party is mapped, and no Beneficiary details are getting mapped in FTR screen. Also note that, we have performed a test including CdtrAgtAcct in the incoming FED message and observed that both CDT and BNF are mapped and MT103/202 is getting generated as expected. We need a solution for payments which could mimic the behavior when CdtrAgtAcct is received.
In Legacy mode, when we received {4200} Beneficiary: D/5186061000, both CDT and BNF are mapped in FTR. We believe it could be due to the presence of CDTAIN P-rule with D/5186061000 in Profile IDI which is attached as well.</t>
  </si>
  <si>
    <t>H24-683824</t>
  </si>
  <si>
    <t>Ops PARTNERS REPORTED MTS Slowness issue while accessing PSR screen and users' session crating mutual locks in MTS</t>
  </si>
  <si>
    <t>Snapshot Y/N
Version?</t>
  </si>
  <si>
    <t>MTS Version 
(Baseline or Snapshot code)
Eg: Patch 9 / Patch 9 Snapshot</t>
  </si>
  <si>
    <t>UP Framework
Version</t>
  </si>
  <si>
    <t>ICE-XS
Version</t>
  </si>
  <si>
    <t>Control Center
IP/F
Version</t>
  </si>
  <si>
    <t>FEDWire GW
Version</t>
  </si>
  <si>
    <t>MTS Adapter
Version</t>
  </si>
  <si>
    <t>Bank Adapter
Version</t>
  </si>
  <si>
    <t xml:space="preserve">SAG GW
Version
</t>
  </si>
  <si>
    <t>SAA GW
Version</t>
  </si>
  <si>
    <t>CHIPS GW
Version</t>
  </si>
  <si>
    <t>Sanctions GW
Version</t>
  </si>
  <si>
    <t>123 Bank(Example)</t>
  </si>
  <si>
    <t>Patch 9 Snap</t>
  </si>
  <si>
    <t>5.0.4-23</t>
  </si>
  <si>
    <t>6.0.5.23</t>
  </si>
  <si>
    <t>IP 3.5.2.10</t>
  </si>
  <si>
    <t>1.1.2.9</t>
  </si>
  <si>
    <t>1.7.2.7</t>
  </si>
  <si>
    <t>1.5.0.5</t>
  </si>
  <si>
    <t>1.1.1.5</t>
  </si>
  <si>
    <t>1.0.0.4</t>
  </si>
  <si>
    <t>Jun_25 SP Patch 3 (MTS 6.8.78)</t>
  </si>
  <si>
    <t>5.0.4-28</t>
  </si>
  <si>
    <t>ICE-XS.6.0.5.23</t>
  </si>
  <si>
    <t>3.5.3.2</t>
  </si>
  <si>
    <t>1.1.2.13</t>
  </si>
  <si>
    <t>1.7.3.2</t>
  </si>
  <si>
    <t>1.5.0.1</t>
  </si>
  <si>
    <t>2.1.1.1</t>
  </si>
  <si>
    <t>n/a</t>
  </si>
  <si>
    <t xml:space="preserve">Jun_25 SP (MTS 5.8.78) 
boa2_mts_50878 snapshot 
 </t>
  </si>
  <si>
    <t>APSF CC: 5.0.4.20
CC IP Plug In: 3.5.3.2
MCAS IPF: 3.5.3.3</t>
  </si>
  <si>
    <t>1.1.2.013</t>
  </si>
  <si>
    <t>1.7.3.002</t>
  </si>
  <si>
    <t>1.5.0.001</t>
  </si>
  <si>
    <t>2.1.1.001</t>
  </si>
  <si>
    <t>1.1.2.003</t>
  </si>
  <si>
    <t>Jun_25 SP (MTS 5.8.78)</t>
  </si>
  <si>
    <t>MCAS: 5.0.4-28</t>
  </si>
  <si>
    <t>ICE-XS 6.0.5.21</t>
  </si>
  <si>
    <t>APSF Control Center: 5.0.4.20
MCAS IPF Cartridges: 3.5.3.0</t>
  </si>
  <si>
    <t>MTS ISO20022 Adapter: 1.7.3.0</t>
  </si>
  <si>
    <t>RTPS Bank Adapter:  1.5.0.0</t>
  </si>
  <si>
    <t>SWIFT ISO20022 SAA Gateway  2.1.1.0</t>
  </si>
  <si>
    <t>Sep_25 SP Patch 1 Snapshot (MTS 6.8.79)</t>
  </si>
  <si>
    <t>5.0.4-21</t>
  </si>
  <si>
    <t>ICE-XS.6.0.5.24</t>
  </si>
  <si>
    <t>3.5.4.1</t>
  </si>
  <si>
    <t>1.1.3.1</t>
  </si>
  <si>
    <t>1.7.4.1</t>
  </si>
  <si>
    <t>1.5.1.1</t>
  </si>
  <si>
    <t>2.1.1.0</t>
  </si>
  <si>
    <t>MTS 5.8.78 June SP Patch 4</t>
  </si>
  <si>
    <t>ISO_Jun25 UPF Patch 4</t>
  </si>
  <si>
    <t>ICE-XS-6.0.5.23</t>
  </si>
  <si>
    <t>3.5.3.3</t>
  </si>
  <si>
    <t>1.5.1.2</t>
  </si>
  <si>
    <t xml:space="preserve">2.1.1.1 </t>
  </si>
  <si>
    <t>1.1.2.3</t>
  </si>
  <si>
    <t>Jun_25 SP Patch 4 (MTS 5.8.78)</t>
  </si>
  <si>
    <t>ICE-XS.6.0.5.23.L64</t>
  </si>
  <si>
    <t>Jun_25 SP Patch 2 (MTS 6.8.78)</t>
  </si>
  <si>
    <t>5.0.4-28-UC-001.019</t>
  </si>
  <si>
    <t>1.1.2.012</t>
  </si>
  <si>
    <t>1.7.3.001</t>
  </si>
  <si>
    <t>1.5.0.000</t>
  </si>
  <si>
    <t>2.1.1.000</t>
  </si>
  <si>
    <t>1.1.2.002</t>
  </si>
  <si>
    <t xml:space="preserve">N </t>
  </si>
  <si>
    <t>Jun_25 SP Patch 2 (MTS 5.8.78)</t>
  </si>
  <si>
    <t>1.1.2.12</t>
  </si>
  <si>
    <t>1.7.3.1</t>
  </si>
  <si>
    <t>5.04-28</t>
  </si>
  <si>
    <t>1.1.2.1</t>
  </si>
  <si>
    <t>MTS 5.8.78 June SP Patch 2</t>
  </si>
  <si>
    <t>ISO_Jun25 UPF Patch 2</t>
  </si>
  <si>
    <t>1.1.2.11</t>
  </si>
  <si>
    <t>1.5.0.0</t>
  </si>
  <si>
    <t>1.5.1.0</t>
  </si>
  <si>
    <t>5.8.78/SO_Jun25_HF2</t>
  </si>
  <si>
    <t>UPF 5.0.4-28</t>
  </si>
  <si>
    <t>5.0.4.20</t>
  </si>
  <si>
    <t>Real-Time Payments 3.5.3.2</t>
  </si>
  <si>
    <t>Fedwire ISO20022 Gateway 1.1.2.12</t>
  </si>
  <si>
    <t>MTS ISO20022 Adapter 1.7.3.1</t>
  </si>
  <si>
    <t>Bank Adapter 1.5.0.0</t>
  </si>
  <si>
    <t>SWIFT ISO Gateway (SAG) 1.5.1.1</t>
  </si>
  <si>
    <t>CHIPS ISO Gateway 1.1.2.2</t>
  </si>
  <si>
    <t>ISO_Jun25 UPF Patch 5</t>
  </si>
  <si>
    <t>1.1.2.14</t>
  </si>
  <si>
    <t>1.5.1.3</t>
  </si>
  <si>
    <t>2.1.1.2</t>
  </si>
  <si>
    <t>Jun_25 SP Patch 1 (MTS 5.8.78)</t>
  </si>
  <si>
    <t>Kheng Teong</t>
  </si>
  <si>
    <t>6.0.5.21</t>
  </si>
  <si>
    <t>1.1.2.2</t>
  </si>
  <si>
    <t>N/Y</t>
  </si>
  <si>
    <t>Global :Jun 2025 Sp5 / Domestic:	MTS 6.8.78.0  ISO_Jun25_HF2 -Snapshot1</t>
  </si>
  <si>
    <t>SWIFT ISO20022 SAA Gateway 2.1.1.0</t>
  </si>
  <si>
    <t>CHIPS ISO20022 Gateway 1.1.2.2</t>
  </si>
  <si>
    <t>Patch</t>
  </si>
  <si>
    <t>ICE-XS 6.0.5.23 Mod 250618</t>
  </si>
  <si>
    <t>5.0.4-20</t>
  </si>
  <si>
    <t>SWIFT ISO20022 SAG Gateway 1.5.1.1</t>
  </si>
  <si>
    <t>June sp patch 2 base
emts: WEL15
gmts: WFI24</t>
  </si>
  <si>
    <t>5.0.4.28</t>
  </si>
  <si>
    <t>ICE-XS 06.00.5.23</t>
  </si>
  <si>
    <t>ISOFedBaseline:1.1.2.010</t>
  </si>
  <si>
    <t>MTSAdapterBaseline: 1.7.3.001</t>
  </si>
  <si>
    <t>Bank Adapter Scheme XSD:1.5.0.000</t>
  </si>
  <si>
    <t>ISOSwiftNetInteractSchemeXSD:1.3.2.014</t>
  </si>
  <si>
    <t>CHIPS ISO Baseline:1.1.2.002</t>
  </si>
  <si>
    <t>Process</t>
  </si>
  <si>
    <t>Step 1:  The customer should open a case in support portal regardless of the priority
Step 2:  All calls go through Help24.  Please do not take any troubleshooting or support calls via cell phone as it will be hard to track – significantly if it could affect other customers.</t>
  </si>
  <si>
    <t>Room Layout:</t>
  </si>
  <si>
    <t>ISO Go-Live Roles/Responsibilities</t>
  </si>
  <si>
    <r>
      <rPr>
        <sz val="11"/>
        <color rgb="FF000000"/>
        <rFont val="Symbol"/>
        <family val="1"/>
        <charset val="2"/>
      </rPr>
      <t>·</t>
    </r>
    <r>
      <rPr>
        <sz val="7"/>
        <color rgb="FF000000"/>
        <rFont val="Times New Roman"/>
        <family val="1"/>
      </rPr>
      <t xml:space="preserve">       </t>
    </r>
    <r>
      <rPr>
        <sz val="11"/>
        <color rgb="FF000000"/>
        <rFont val="Calibri"/>
        <family val="2"/>
      </rPr>
      <t>Executive Lead (1) –ELT member Martina Powers/Anup Thomas</t>
    </r>
  </si>
  <si>
    <r>
      <t>o</t>
    </r>
    <r>
      <rPr>
        <sz val="7"/>
        <color theme="1"/>
        <rFont val="Times New Roman"/>
        <family val="1"/>
      </rPr>
      <t xml:space="preserve">   </t>
    </r>
    <r>
      <rPr>
        <sz val="11"/>
        <color theme="1"/>
        <rFont val="Calibri"/>
        <family val="2"/>
        <scheme val="minor"/>
      </rPr>
      <t>Point of escalation and contact with customers that are in high critical states</t>
    </r>
  </si>
  <si>
    <r>
      <rPr>
        <sz val="11"/>
        <color rgb="FF000000"/>
        <rFont val="Symbol"/>
        <family val="1"/>
        <charset val="2"/>
      </rPr>
      <t>·</t>
    </r>
    <r>
      <rPr>
        <sz val="7"/>
        <color rgb="FF000000"/>
        <rFont val="Times New Roman"/>
        <family val="1"/>
      </rPr>
      <t xml:space="preserve">       </t>
    </r>
    <r>
      <rPr>
        <sz val="11"/>
        <color rgb="FF000000"/>
        <rFont val="Calibri"/>
        <family val="2"/>
      </rPr>
      <t>War Room Coordinators - Lolita Florence/Jeff Rawson and Bev Hrabik/Rahul Kulal</t>
    </r>
  </si>
  <si>
    <r>
      <t>o</t>
    </r>
    <r>
      <rPr>
        <sz val="7"/>
        <color theme="1"/>
        <rFont val="Times New Roman"/>
        <family val="1"/>
      </rPr>
      <t xml:space="preserve">   </t>
    </r>
    <r>
      <rPr>
        <sz val="11"/>
        <color theme="1"/>
        <rFont val="Calibri"/>
        <family val="2"/>
        <scheme val="minor"/>
      </rPr>
      <t>Manage the war room – physically and virtual.</t>
    </r>
  </si>
  <si>
    <r>
      <t>o</t>
    </r>
    <r>
      <rPr>
        <sz val="7"/>
        <color theme="1"/>
        <rFont val="Times New Roman"/>
        <family val="1"/>
      </rPr>
      <t xml:space="preserve">   </t>
    </r>
    <r>
      <rPr>
        <sz val="11"/>
        <color theme="1"/>
        <rFont val="Calibri"/>
        <family val="2"/>
        <scheme val="minor"/>
      </rPr>
      <t>Manage Help24 queue, P1’s, P2’s for immediate impact across the customer base</t>
    </r>
  </si>
  <si>
    <r>
      <t>o</t>
    </r>
    <r>
      <rPr>
        <sz val="7"/>
        <color theme="1"/>
        <rFont val="Times New Roman"/>
        <family val="1"/>
      </rPr>
      <t xml:space="preserve">   </t>
    </r>
    <r>
      <rPr>
        <sz val="11"/>
        <color theme="1"/>
        <rFont val="Calibri"/>
        <family val="2"/>
        <scheme val="minor"/>
      </rPr>
      <t>Communication source for status – across the Program</t>
    </r>
  </si>
  <si>
    <r>
      <t>o</t>
    </r>
    <r>
      <rPr>
        <sz val="7"/>
        <color theme="1"/>
        <rFont val="Times New Roman"/>
        <family val="1"/>
      </rPr>
      <t xml:space="preserve">   </t>
    </r>
    <r>
      <rPr>
        <sz val="11"/>
        <color theme="1"/>
        <rFont val="Calibri"/>
        <family val="2"/>
        <scheme val="minor"/>
      </rPr>
      <t>Facilitate triage work on all P1’s, P2’s with Triage Room (Physically located in Norcross office)</t>
    </r>
  </si>
  <si>
    <r>
      <t>o</t>
    </r>
    <r>
      <rPr>
        <sz val="7"/>
        <color theme="1"/>
        <rFont val="Times New Roman"/>
        <family val="1"/>
      </rPr>
      <t xml:space="preserve">   </t>
    </r>
    <r>
      <rPr>
        <sz val="11"/>
        <color theme="1"/>
        <rFont val="Calibri"/>
        <family val="2"/>
        <scheme val="minor"/>
      </rPr>
      <t>Established reporting - internal - on status; verbal and written</t>
    </r>
  </si>
  <si>
    <r>
      <t>o</t>
    </r>
    <r>
      <rPr>
        <sz val="7"/>
        <color theme="1"/>
        <rFont val="Times New Roman"/>
        <family val="1"/>
      </rPr>
      <t xml:space="preserve">   </t>
    </r>
    <r>
      <rPr>
        <sz val="11"/>
        <color theme="1"/>
        <rFont val="Calibri"/>
        <family val="2"/>
        <scheme val="minor"/>
      </rPr>
      <t>Dispatch P2 issues to identified project teams -****</t>
    </r>
  </si>
  <si>
    <r>
      <t>o</t>
    </r>
    <r>
      <rPr>
        <sz val="7"/>
        <color theme="1"/>
        <rFont val="Times New Roman"/>
        <family val="1"/>
      </rPr>
      <t xml:space="preserve">   </t>
    </r>
    <r>
      <rPr>
        <sz val="11"/>
        <color theme="1"/>
        <rFont val="Calibri"/>
        <family val="2"/>
        <scheme val="minor"/>
      </rPr>
      <t>Point of contact for internal escalation</t>
    </r>
  </si>
  <si>
    <r>
      <t>o</t>
    </r>
    <r>
      <rPr>
        <sz val="7"/>
        <color theme="1"/>
        <rFont val="Times New Roman"/>
        <family val="1"/>
      </rPr>
      <t xml:space="preserve">   </t>
    </r>
    <r>
      <rPr>
        <sz val="11"/>
        <color theme="1"/>
        <rFont val="Calibri"/>
        <family val="2"/>
        <scheme val="minor"/>
      </rPr>
      <t>Hand-off between leaders.</t>
    </r>
  </si>
  <si>
    <r>
      <t>o</t>
    </r>
    <r>
      <rPr>
        <sz val="7"/>
        <color theme="1"/>
        <rFont val="Times New Roman"/>
        <family val="1"/>
      </rPr>
      <t xml:space="preserve">   </t>
    </r>
    <r>
      <rPr>
        <sz val="11"/>
        <color theme="1"/>
        <rFont val="Calibri"/>
        <family val="2"/>
        <scheme val="minor"/>
      </rPr>
      <t>Partner with all other teams to coordinate communication and process flow</t>
    </r>
  </si>
  <si>
    <r>
      <t>·</t>
    </r>
    <r>
      <rPr>
        <sz val="7"/>
        <color theme="1"/>
        <rFont val="Times New Roman"/>
        <family val="1"/>
      </rPr>
      <t xml:space="preserve">       </t>
    </r>
    <r>
      <rPr>
        <sz val="11"/>
        <color theme="1"/>
        <rFont val="Calibri"/>
        <family val="2"/>
        <scheme val="minor"/>
      </rPr>
      <t>Help24 Team</t>
    </r>
  </si>
  <si>
    <r>
      <rPr>
        <sz val="11"/>
        <color rgb="FF000000"/>
        <rFont val="Courier New"/>
      </rPr>
      <t>o</t>
    </r>
    <r>
      <rPr>
        <sz val="7"/>
        <color rgb="FF000000"/>
        <rFont val="Times New Roman"/>
      </rPr>
      <t xml:space="preserve">   </t>
    </r>
    <r>
      <rPr>
        <sz val="11"/>
        <color rgb="FF000000"/>
        <rFont val="Calibri"/>
        <scheme val="minor"/>
      </rPr>
      <t>Partners with the war room in Norcross to support ISO customers as they go-live</t>
    </r>
  </si>
  <si>
    <r>
      <rPr>
        <sz val="11"/>
        <color rgb="FF000000"/>
        <rFont val="Courier New"/>
      </rPr>
      <t>o</t>
    </r>
    <r>
      <rPr>
        <sz val="7"/>
        <color rgb="FF000000"/>
        <rFont val="Times New Roman"/>
      </rPr>
      <t xml:space="preserve">   </t>
    </r>
    <r>
      <rPr>
        <sz val="11"/>
        <color rgb="FF000000"/>
        <rFont val="Calibri"/>
      </rPr>
      <t>Intake all calls relating to issues faced in Production for Fed ISO change</t>
    </r>
  </si>
  <si>
    <r>
      <t>·</t>
    </r>
    <r>
      <rPr>
        <sz val="7"/>
        <color theme="1"/>
        <rFont val="Times New Roman"/>
        <family val="1"/>
      </rPr>
      <t xml:space="preserve">       </t>
    </r>
    <r>
      <rPr>
        <sz val="11"/>
        <color theme="1"/>
        <rFont val="Calibri"/>
        <family val="2"/>
        <scheme val="minor"/>
      </rPr>
      <t>PS Project Teams</t>
    </r>
  </si>
  <si>
    <r>
      <t>o</t>
    </r>
    <r>
      <rPr>
        <sz val="7"/>
        <color theme="1"/>
        <rFont val="Times New Roman"/>
        <family val="1"/>
      </rPr>
      <t xml:space="preserve">   </t>
    </r>
    <r>
      <rPr>
        <sz val="11"/>
        <color theme="1"/>
        <rFont val="Calibri"/>
        <family val="2"/>
        <scheme val="minor"/>
      </rPr>
      <t>Support of their customer – responsible for customer’s hours of business.</t>
    </r>
  </si>
  <si>
    <r>
      <t>o</t>
    </r>
    <r>
      <rPr>
        <sz val="7"/>
        <color theme="1"/>
        <rFont val="Times New Roman"/>
        <family val="1"/>
      </rPr>
      <t xml:space="preserve">   </t>
    </r>
    <r>
      <rPr>
        <sz val="11"/>
        <color theme="1"/>
        <rFont val="Calibri"/>
        <family val="2"/>
        <scheme val="minor"/>
      </rPr>
      <t>Initial triage of issues</t>
    </r>
  </si>
  <si>
    <r>
      <t>o</t>
    </r>
    <r>
      <rPr>
        <sz val="7"/>
        <color theme="1"/>
        <rFont val="Times New Roman"/>
        <family val="1"/>
      </rPr>
      <t xml:space="preserve">   </t>
    </r>
    <r>
      <rPr>
        <sz val="11"/>
        <color theme="1"/>
        <rFont val="Calibri"/>
        <family val="2"/>
        <scheme val="minor"/>
      </rPr>
      <t>Work through any reported issues, testing, replication</t>
    </r>
  </si>
  <si>
    <r>
      <t>o</t>
    </r>
    <r>
      <rPr>
        <sz val="7"/>
        <color theme="1"/>
        <rFont val="Times New Roman"/>
        <family val="1"/>
      </rPr>
      <t xml:space="preserve">   </t>
    </r>
    <r>
      <rPr>
        <sz val="11"/>
        <color theme="1"/>
        <rFont val="Calibri"/>
        <family val="2"/>
        <scheme val="minor"/>
      </rPr>
      <t>Communication to customer</t>
    </r>
  </si>
  <si>
    <r>
      <t>·</t>
    </r>
    <r>
      <rPr>
        <sz val="7"/>
        <color theme="1"/>
        <rFont val="Times New Roman"/>
        <family val="1"/>
      </rPr>
      <t xml:space="preserve">       </t>
    </r>
    <r>
      <rPr>
        <sz val="11"/>
        <color theme="1"/>
        <rFont val="Calibri"/>
        <family val="2"/>
        <scheme val="minor"/>
      </rPr>
      <t>PD Team</t>
    </r>
  </si>
  <si>
    <r>
      <t>o</t>
    </r>
    <r>
      <rPr>
        <sz val="7"/>
        <color theme="1"/>
        <rFont val="Times New Roman"/>
        <family val="1"/>
      </rPr>
      <t xml:space="preserve">   </t>
    </r>
    <r>
      <rPr>
        <sz val="11"/>
        <color theme="1"/>
        <rFont val="Calibri"/>
        <family val="2"/>
        <scheme val="minor"/>
      </rPr>
      <t>In the event there are blockers or showstoppers reported, resolve to fix.</t>
    </r>
  </si>
  <si>
    <t>After hours support:</t>
  </si>
  <si>
    <r>
      <t>·</t>
    </r>
    <r>
      <rPr>
        <sz val="7"/>
        <color theme="1"/>
        <rFont val="Times New Roman"/>
        <family val="1"/>
      </rPr>
      <t xml:space="preserve">       </t>
    </r>
    <r>
      <rPr>
        <sz val="11"/>
        <color theme="1"/>
        <rFont val="Calibri"/>
        <family val="2"/>
        <scheme val="minor"/>
      </rPr>
      <t>All calls run through Help24</t>
    </r>
  </si>
  <si>
    <r>
      <rPr>
        <sz val="11"/>
        <color rgb="FF000000"/>
        <rFont val="Symbol"/>
      </rPr>
      <t>·</t>
    </r>
    <r>
      <rPr>
        <sz val="7"/>
        <color rgb="FF000000"/>
        <rFont val="Times New Roman"/>
      </rPr>
      <t xml:space="preserve">       </t>
    </r>
    <r>
      <rPr>
        <sz val="11"/>
        <color rgb="FF000000"/>
        <rFont val="Calibri"/>
        <scheme val="minor"/>
      </rPr>
      <t>Help24 will triage and try to resolve.  In the event they cannot, they will call the appropriate on-call person associated with the project team.</t>
    </r>
  </si>
  <si>
    <r>
      <t>o</t>
    </r>
    <r>
      <rPr>
        <sz val="7"/>
        <color theme="1"/>
        <rFont val="Times New Roman"/>
        <family val="1"/>
      </rPr>
      <t xml:space="preserve">   </t>
    </r>
    <r>
      <rPr>
        <sz val="11"/>
        <color theme="1"/>
        <rFont val="Calibri"/>
        <family val="2"/>
        <scheme val="minor"/>
      </rPr>
      <t>If project team needs Infrastructure – MTS or UPF – please review sheet for appropriate on call person.</t>
    </r>
  </si>
  <si>
    <r>
      <t>o</t>
    </r>
    <r>
      <rPr>
        <sz val="7"/>
        <color theme="1"/>
        <rFont val="Times New Roman"/>
        <family val="1"/>
      </rPr>
      <t xml:space="preserve">   </t>
    </r>
    <r>
      <rPr>
        <sz val="11"/>
        <color theme="1"/>
        <rFont val="Calibri"/>
        <family val="2"/>
        <scheme val="minor"/>
      </rPr>
      <t>If on call person needs higher level of support or visibility, on-call war room coordinator is then called.</t>
    </r>
  </si>
  <si>
    <t>Open Questions</t>
  </si>
  <si>
    <t>1.  Will there be any swag for the individuals onsite?</t>
  </si>
  <si>
    <t>2.  Bev confirm ELT  - done</t>
  </si>
  <si>
    <t>3.  Confirm status of dual monitors PD list - Chetan, Monique, Rahul, Neelima</t>
  </si>
  <si>
    <t>4. Are rooms reserved? Reserved</t>
  </si>
  <si>
    <t>5. Cubes need to be reserved</t>
  </si>
  <si>
    <t>6. Order food</t>
  </si>
  <si>
    <t>7.  Lolita Confirmed (10 cubes with a monitor and 10 monitors on the shelf - Lolita will go into the office in the next few weeks to confirm setup.)
we'll need to know names to look up computer names, to see what docks they will need, there's standard usb ones, then dev lenovos and dev dells, they need different types</t>
  </si>
  <si>
    <r>
      <rPr>
        <b/>
        <sz val="11"/>
        <color rgb="FF000000"/>
        <rFont val="Calibri"/>
        <scheme val="minor"/>
      </rPr>
      <t xml:space="preserve">Seating Chart: </t>
    </r>
    <r>
      <rPr>
        <sz val="11"/>
        <color rgb="FF000000"/>
        <rFont val="Calibri"/>
        <scheme val="minor"/>
      </rPr>
      <t>Reserved Saturn(10), Pluto(8), Neptune(8), Calypso(8), Mars(14)</t>
    </r>
    <r>
      <rPr>
        <b/>
        <sz val="11"/>
        <color rgb="FF000000"/>
        <rFont val="Calibri"/>
        <scheme val="minor"/>
      </rPr>
      <t xml:space="preserve"> - Rooms to be used for breakout and working sessions.
Mars - Command Center</t>
    </r>
  </si>
  <si>
    <t>All Times in Eastern</t>
  </si>
  <si>
    <t>War Room Coordinator - SUPPORT</t>
  </si>
  <si>
    <t>All Day</t>
  </si>
  <si>
    <t>Holiday</t>
  </si>
  <si>
    <t>Lolita Florence</t>
  </si>
  <si>
    <t>8am - 130pm then back at 3pm - 5pm</t>
  </si>
  <si>
    <t>All day until 5pm Phone, online via chat after</t>
  </si>
  <si>
    <t>Denise Lunn</t>
  </si>
  <si>
    <t xml:space="preserve">All Day </t>
  </si>
  <si>
    <t>All Day- DE On Demand</t>
  </si>
  <si>
    <t>Not available after 17:00</t>
  </si>
  <si>
    <t>Steve Riddick</t>
  </si>
  <si>
    <t>PTO</t>
  </si>
  <si>
    <t>Christy Purser</t>
  </si>
  <si>
    <t>All Day - DE ON DEMAND</t>
  </si>
  <si>
    <t>Stephanie Cox</t>
  </si>
  <si>
    <t xml:space="preserve">On Call War Room Conference Room Coordinator </t>
  </si>
  <si>
    <t xml:space="preserve">UPF / MTS - INFRASTRUCTURE </t>
  </si>
  <si>
    <t xml:space="preserve">Kevin Stillwell </t>
  </si>
  <si>
    <t>Traveling</t>
  </si>
  <si>
    <t xml:space="preserve">8 am - 5 pm </t>
  </si>
  <si>
    <t xml:space="preserve">7 am - 6 pm </t>
  </si>
  <si>
    <t xml:space="preserve">Bill Polleys </t>
  </si>
  <si>
    <t xml:space="preserve">Cameron Jackson </t>
  </si>
  <si>
    <t xml:space="preserve">Carlos Castaneda Juan </t>
  </si>
  <si>
    <t xml:space="preserve">Ananth Rajah </t>
  </si>
  <si>
    <t>Traveling - 3PM- 12AM</t>
  </si>
  <si>
    <t xml:space="preserve">Siva Alugoju </t>
  </si>
  <si>
    <t xml:space="preserve">Tomas Rojas </t>
  </si>
  <si>
    <t xml:space="preserve">Umesh Sharma </t>
  </si>
  <si>
    <t xml:space="preserve">Maykol Yara </t>
  </si>
  <si>
    <t xml:space="preserve">Juan Mateus  </t>
  </si>
  <si>
    <t>On Call MTS</t>
  </si>
  <si>
    <t>Kevin Stillwell</t>
  </si>
  <si>
    <t>Bill Polleys</t>
  </si>
  <si>
    <t>On Call UPF</t>
  </si>
  <si>
    <t>Maykol Yara</t>
  </si>
  <si>
    <t>Umesh Sharma</t>
  </si>
  <si>
    <t>Cameron Jackson</t>
  </si>
  <si>
    <t>Siva Alugoju</t>
  </si>
  <si>
    <t>Tomas Rojas</t>
  </si>
  <si>
    <t>APP CONFIG SUPPORT</t>
  </si>
  <si>
    <t xml:space="preserve">Jean Harty </t>
  </si>
  <si>
    <t>8 pm - 12:00 am</t>
  </si>
  <si>
    <t xml:space="preserve">6 am - 6 pm </t>
  </si>
  <si>
    <t xml:space="preserve">Denise Feeney </t>
  </si>
  <si>
    <t>On Call 6 am -6 pm</t>
  </si>
  <si>
    <t>On Call App Config</t>
  </si>
  <si>
    <t>Denise Feeney</t>
  </si>
  <si>
    <t>RTPS - A (REG, BBT/TRU, SCB)</t>
  </si>
  <si>
    <t xml:space="preserve">Phil Hegarty </t>
  </si>
  <si>
    <t>3 pm - 5 pm  (Traveling)</t>
  </si>
  <si>
    <t xml:space="preserve">Janet Zirpolo </t>
  </si>
  <si>
    <t>3 pm - 5 pm (Traveling)</t>
  </si>
  <si>
    <t>(On Call before 7PM) 8 pm - 12:00 am</t>
  </si>
  <si>
    <t>6 am -6 pm</t>
  </si>
  <si>
    <t xml:space="preserve">Debalina Dogra </t>
  </si>
  <si>
    <t>7:30 am - 11:30 pm</t>
  </si>
  <si>
    <t>On Call 8 am - 5PM</t>
  </si>
  <si>
    <t>On Call</t>
  </si>
  <si>
    <t xml:space="preserve">Prabhu Paulraj </t>
  </si>
  <si>
    <t xml:space="preserve">8:00 am - 5:00 pm; 
6:30 pm - 8:30 pm 
</t>
  </si>
  <si>
    <t>7:30 am - 10:30 pm
Traveling in the afternoon</t>
  </si>
  <si>
    <t>8:00 pm - 11: 30 pm</t>
  </si>
  <si>
    <t>8:00 am - 5:00 pm</t>
  </si>
  <si>
    <t>Primary Contact (BBT/TFC) Nisha Gaston</t>
  </si>
  <si>
    <t xml:space="preserve">Primary Contact (Regions) Jason Howell </t>
  </si>
  <si>
    <t>Primary Contact (SCB) Junaid Saeed Baig</t>
  </si>
  <si>
    <t>RTPS - B (HNB, FNB, FNBO, CMA)</t>
  </si>
  <si>
    <t xml:space="preserve">Vishal Bute </t>
  </si>
  <si>
    <t>7:30 pm -12:00 am</t>
  </si>
  <si>
    <t>Business hours Traveling/ 7:30 pm - 12:00 am</t>
  </si>
  <si>
    <t>Primary Contact (HNB) Nisha Gaston</t>
  </si>
  <si>
    <t>Primary Contact (FNB) Christy Diffey</t>
  </si>
  <si>
    <t>Primary Contact (CMA) Dayro Andrade</t>
  </si>
  <si>
    <t xml:space="preserve">Primary Contact (FNBO) Jason Howell </t>
  </si>
  <si>
    <t>RTPS - C (MIZ, FHLBNY, UMB, SSC (Domestic)</t>
  </si>
  <si>
    <t xml:space="preserve">Scott Bobeck </t>
  </si>
  <si>
    <t xml:space="preserve">Paula Boston </t>
  </si>
  <si>
    <t xml:space="preserve">Neethu Sreekumar </t>
  </si>
  <si>
    <t xml:space="preserve">8 am - 1 pm </t>
  </si>
  <si>
    <t xml:space="preserve">7 am - 1 pm </t>
  </si>
  <si>
    <r>
      <rPr>
        <sz val="11"/>
        <color rgb="FF000000"/>
        <rFont val="Calibri"/>
        <scheme val="minor"/>
      </rPr>
      <t xml:space="preserve">Primary Contact - </t>
    </r>
    <r>
      <rPr>
        <strike/>
        <sz val="11"/>
        <color rgb="FF000000"/>
        <rFont val="Calibri"/>
        <scheme val="minor"/>
      </rPr>
      <t xml:space="preserve">Wanda Shurson </t>
    </r>
  </si>
  <si>
    <t>RTPS - AOD (FHB, FHLBCIN, FHLBATL, FHLBDM, FSB, DNB)</t>
  </si>
  <si>
    <t xml:space="preserve">Anjanette Mayor </t>
  </si>
  <si>
    <t>7 am - 12 pm</t>
  </si>
  <si>
    <t xml:space="preserve">Tejas Tarawade  </t>
  </si>
  <si>
    <t>Alex Kittenplan</t>
  </si>
  <si>
    <t xml:space="preserve">Primary Contact - Stephen Reeve  </t>
  </si>
  <si>
    <t>RTPS - E (FTB, ABC, CTZ)</t>
  </si>
  <si>
    <t xml:space="preserve">Brian Winn </t>
  </si>
  <si>
    <t xml:space="preserve">Primary Contact - Dayro Andrade  </t>
  </si>
  <si>
    <t>RTPS - F (Wells Fargo)</t>
  </si>
  <si>
    <t xml:space="preserve">Kim Roberts </t>
  </si>
  <si>
    <t>12 Noon - 8 PM</t>
  </si>
  <si>
    <t xml:space="preserve">Donna Kehoe </t>
  </si>
  <si>
    <t>on call</t>
  </si>
  <si>
    <t xml:space="preserve">Harini Palugulla </t>
  </si>
  <si>
    <t>5 pm to 12:01 am</t>
  </si>
  <si>
    <t>9 am - 7pm</t>
  </si>
  <si>
    <t xml:space="preserve">Vaishali Thakur </t>
  </si>
  <si>
    <t xml:space="preserve">Sharon McFarland </t>
  </si>
  <si>
    <t>10 am - 2:00 pm</t>
  </si>
  <si>
    <t xml:space="preserve">Juan Mateus </t>
  </si>
  <si>
    <t>7:30 pm - midnight</t>
  </si>
  <si>
    <t>Midnight - 4:00 pm</t>
  </si>
  <si>
    <t>Prinary Contact - Terrie Travis</t>
  </si>
  <si>
    <t>Primary Contat - Christy Purser</t>
  </si>
  <si>
    <t xml:space="preserve">Primary Contact -  Celia Christensen  </t>
  </si>
  <si>
    <t>RTPS - G (NTC/NTP, ZIONS, FTN, CNB) &amp; FNB</t>
  </si>
  <si>
    <t xml:space="preserve">John Berger </t>
  </si>
  <si>
    <t xml:space="preserve">8 am - 3 pm </t>
  </si>
  <si>
    <t xml:space="preserve">Amit Kulkarni </t>
  </si>
  <si>
    <t xml:space="preserve">Cam Jackson </t>
  </si>
  <si>
    <t>Brian Winn (NTC/NTP)</t>
  </si>
  <si>
    <t xml:space="preserve">Primary Contact - Christy Diffey </t>
  </si>
  <si>
    <t>PTO JBA</t>
  </si>
  <si>
    <t>8 am to 3pm</t>
  </si>
  <si>
    <t xml:space="preserve">8 am - 6 pm </t>
  </si>
  <si>
    <t>RTPS - H (BofA)</t>
  </si>
  <si>
    <t xml:space="preserve">Kristen Bagdasarian </t>
  </si>
  <si>
    <t xml:space="preserve">Jennifer Lytle </t>
  </si>
  <si>
    <t xml:space="preserve">Tim Joyce </t>
  </si>
  <si>
    <t>Siva Kanagashanmuga</t>
  </si>
  <si>
    <t>apa</t>
  </si>
  <si>
    <t>OOO</t>
  </si>
  <si>
    <t>Soujanya  Cherukupalli</t>
  </si>
  <si>
    <t xml:space="preserve">Primary Contact - Andrea Coyle </t>
  </si>
  <si>
    <t>5pm - 8am Sat</t>
  </si>
  <si>
    <t>8am - 3pm</t>
  </si>
  <si>
    <t>12:01am - 3pm</t>
  </si>
  <si>
    <t xml:space="preserve">12:01am - 7am </t>
  </si>
  <si>
    <t xml:space="preserve">Primary Contact - Nasser Ospina </t>
  </si>
  <si>
    <t>8am - 5pm</t>
  </si>
  <si>
    <t>3pm - Midnight</t>
  </si>
  <si>
    <t>KB, JL, TJ, AC, NO</t>
  </si>
  <si>
    <t>CITIZENS (CTZ)</t>
  </si>
  <si>
    <t xml:space="preserve">Carlos Castaneda </t>
  </si>
  <si>
    <t>9:00 pm - 12:00 am Saturday ET</t>
  </si>
  <si>
    <t>8:00 am - 6:00pm ET</t>
  </si>
  <si>
    <t>8:00am - 4:00pm ET</t>
  </si>
  <si>
    <t>John Berger</t>
  </si>
  <si>
    <t xml:space="preserve">Primary Contact - Dayro Andrade </t>
  </si>
  <si>
    <t>Carlos, Brian</t>
  </si>
  <si>
    <t>Ketan Bibave</t>
  </si>
  <si>
    <t>09:00 - 17:00 CET</t>
  </si>
  <si>
    <t>All day CET</t>
  </si>
  <si>
    <t>Jim Gordon</t>
  </si>
  <si>
    <t>Anthony Tornambe</t>
  </si>
  <si>
    <t>03:00AM CET onwards</t>
  </si>
  <si>
    <t>Primary Contact - Ludmila Kheyar</t>
  </si>
  <si>
    <t>SME</t>
  </si>
  <si>
    <t>Neelima Inti</t>
  </si>
  <si>
    <t>Mgt</t>
  </si>
  <si>
    <t>9am - 6 pm</t>
  </si>
  <si>
    <t>9am - 5pm</t>
  </si>
  <si>
    <t>10am - 2pm
8pm-12am</t>
  </si>
  <si>
    <t>7am - 6 pm</t>
  </si>
  <si>
    <t>Bev Hrabik</t>
  </si>
  <si>
    <t>PM</t>
  </si>
  <si>
    <t>Remote</t>
  </si>
  <si>
    <t>Off Site Support</t>
  </si>
  <si>
    <t>Rahul Kulal</t>
  </si>
  <si>
    <t>US On Call War Room Coordinator - Rahul Kulal</t>
  </si>
  <si>
    <t>EI/India On Call War Room Coordinator - Saumya Reddy</t>
  </si>
  <si>
    <t>On Site Support</t>
  </si>
  <si>
    <t>Don Beer</t>
  </si>
  <si>
    <t>Architect</t>
  </si>
  <si>
    <t>Tushar Bhatia</t>
  </si>
  <si>
    <t>Travelling</t>
  </si>
  <si>
    <t>Sandra Boddy</t>
  </si>
  <si>
    <t>MTS QE</t>
  </si>
  <si>
    <t>12pm - 2pm</t>
  </si>
  <si>
    <t>Treveling</t>
  </si>
  <si>
    <t>Ram Boga</t>
  </si>
  <si>
    <t>Mamatha Govindaraju</t>
  </si>
  <si>
    <t>Yoga Govindaraju</t>
  </si>
  <si>
    <t>CC QE</t>
  </si>
  <si>
    <t>Alina Grui</t>
  </si>
  <si>
    <t>Monique Hassett</t>
  </si>
  <si>
    <t>Chetan Konka</t>
  </si>
  <si>
    <t>CC Eng</t>
  </si>
  <si>
    <t>EU/India Remote Support (follow the sun)</t>
  </si>
  <si>
    <t>Ingo Biggs</t>
  </si>
  <si>
    <t>MTS Eng</t>
  </si>
  <si>
    <t>9pm - 6am</t>
  </si>
  <si>
    <t>If required</t>
  </si>
  <si>
    <t>Denis Broderick</t>
  </si>
  <si>
    <t>Jisna Janardhanan</t>
  </si>
  <si>
    <t>Varalakshmi Narayanaswamy</t>
  </si>
  <si>
    <t xml:space="preserve">Hari Shankar Pankajakshan </t>
  </si>
  <si>
    <t>Saumya Reddy</t>
  </si>
  <si>
    <t>Marina Reyder (US Based)</t>
  </si>
  <si>
    <t>7am - 6pm</t>
  </si>
  <si>
    <t>Sayan Sadhukhan</t>
  </si>
  <si>
    <t>GW Eng</t>
  </si>
  <si>
    <t>Support Hours - All Times in Eastern</t>
  </si>
  <si>
    <t>War Room Support</t>
  </si>
  <si>
    <t>Role</t>
  </si>
  <si>
    <t>Amy Haney</t>
  </si>
  <si>
    <t>Sr Product Manager</t>
  </si>
  <si>
    <t>Adam Needel</t>
  </si>
  <si>
    <t>Subsegment Leader</t>
  </si>
  <si>
    <t>Joseph Carey</t>
  </si>
  <si>
    <t>Fedwire PO</t>
  </si>
  <si>
    <t>Divalkar Chandru</t>
  </si>
  <si>
    <t>Ashutosh Gupta</t>
  </si>
  <si>
    <t>Neel Soni</t>
  </si>
  <si>
    <t xml:space="preserve">Control Center PO </t>
  </si>
  <si>
    <t>Jerry Bao</t>
  </si>
  <si>
    <t>PO</t>
  </si>
  <si>
    <t>Jessica O'Rourke</t>
  </si>
  <si>
    <t>Director</t>
  </si>
  <si>
    <t>Tony Smith</t>
  </si>
  <si>
    <t>Triage Artifacts and References</t>
  </si>
  <si>
    <t>Fed ISO Artifacts &amp; Triage Resources - Main Sharepoint</t>
  </si>
  <si>
    <t>Quicklink for Fed Docs</t>
  </si>
  <si>
    <t>Day</t>
  </si>
  <si>
    <t>ACI Internal Customer Update</t>
  </si>
  <si>
    <t>ACI ELT Update</t>
  </si>
  <si>
    <t>Day 1 (Every 2 hour)</t>
  </si>
  <si>
    <t>8am, 10am, 12pm, 2pm, 4pm, 6pm</t>
  </si>
  <si>
    <t xml:space="preserve">930am, 1130am, 130pm, 330pm, 530pm, 730pm </t>
  </si>
  <si>
    <t>Day 2 (Every 3 hours)</t>
  </si>
  <si>
    <t>9am, 12am, 3pm, 6pm</t>
  </si>
  <si>
    <t xml:space="preserve">930am, 1230am, 330pm, 630pm, 730pm </t>
  </si>
  <si>
    <t>Day 3 – 5 Call-in Times</t>
  </si>
  <si>
    <t>12pm and 6pm</t>
  </si>
  <si>
    <t xml:space="preserve">1pm and 7pm </t>
  </si>
  <si>
    <t>Template</t>
  </si>
  <si>
    <t>FED ISO– Go Live Status Update, mm/yy – 12:00 (EST)</t>
  </si>
  <si>
    <r>
      <t>Go Live Overall Status</t>
    </r>
    <r>
      <rPr>
        <sz val="13"/>
        <color rgb="FFFF0000"/>
        <rFont val="Calibri Light"/>
        <family val="2"/>
      </rPr>
      <t xml:space="preserve"> </t>
    </r>
    <r>
      <rPr>
        <sz val="13"/>
        <color rgb="FF00B050"/>
        <rFont val="Calibri Light"/>
        <family val="2"/>
      </rPr>
      <t>GREEN</t>
    </r>
    <r>
      <rPr>
        <sz val="13"/>
        <color rgb="FF2F5496"/>
        <rFont val="Calibri Light"/>
        <family val="2"/>
      </rPr>
      <t>/</t>
    </r>
    <r>
      <rPr>
        <sz val="13"/>
        <color rgb="FFFFFF00"/>
        <rFont val="Calibri Light"/>
        <family val="2"/>
      </rPr>
      <t>Yellow/</t>
    </r>
    <r>
      <rPr>
        <sz val="13"/>
        <color rgb="FFFF0000"/>
        <rFont val="Calibri Light"/>
        <family val="2"/>
      </rPr>
      <t>RED</t>
    </r>
  </si>
  <si>
    <t>Notes:</t>
  </si>
  <si>
    <t>IE: All customers have communicated they are receiving ISO formatted messages.</t>
  </si>
  <si>
    <t>Cases:</t>
  </si>
  <si>
    <t>Number P1 issues – ##</t>
  </si>
  <si>
    <t>Number P2 issues - ##</t>
  </si>
  <si>
    <t>FED ISO Go live has started The teams are actively preparing in Norcross GA, and virtually, to support our banks.  I wanted to explain the communication plan for this group during the first few days of go-live.
Updates will be sent every two hours for the first day  of go-live (4/8), then every 3 hours for the following two days, then daily - unless issues present themselves to increase frequency.  In the event there are many large issues, updates will increase in frequency.
Expect the following format:
FED ISO – Go Live Status Update, mm/yy – 12:00 (EST)
Go Live Overall Status GREEN
Notes:
•	All customers have communicated they are receiving ISO formatted messages.
Cases:
•	Number P1 issues – ##
•	Number P2 issues - ##</t>
  </si>
  <si>
    <t>`</t>
  </si>
  <si>
    <t>Column1</t>
  </si>
  <si>
    <t># Issues (P1)</t>
  </si>
  <si>
    <t># Issues (P2)</t>
  </si>
  <si>
    <t># Issues (P3)</t>
  </si>
  <si>
    <t>Technical Go Live Project Health by Customer</t>
  </si>
  <si>
    <t>Customers</t>
  </si>
  <si>
    <t>Program RAG</t>
  </si>
  <si>
    <t>Updates</t>
  </si>
  <si>
    <t>SM/DE</t>
  </si>
  <si>
    <t>Stakeholder List</t>
  </si>
  <si>
    <t>Andee</t>
  </si>
  <si>
    <t>TO:</t>
  </si>
  <si>
    <t>tom.warsop@aciworldwide.com</t>
  </si>
  <si>
    <t>erich.litch@aciworldwide.com</t>
  </si>
  <si>
    <t>Nisha Howard</t>
  </si>
  <si>
    <t>abe.kuruvilla@aciworldwide.com</t>
  </si>
  <si>
    <t>Raja/Celia</t>
  </si>
  <si>
    <t>martina.power@aciworldwide.com</t>
  </si>
  <si>
    <t>anup.thomas@aciworldwide.com</t>
  </si>
  <si>
    <t xml:space="preserve">They started work at 7 pm, 7/11 finished at 8:30pm
They will be on the Fed calls today and Sunday. The only work for Regions this weekend is Sunday night Cliff and Tony Dillion will check their queues. 
</t>
  </si>
  <si>
    <t>scotty.perkins@aciworldwide.com</t>
  </si>
  <si>
    <t>craig.maki@aciworldwide.com</t>
  </si>
  <si>
    <t>dennis.byrnes@aciworldwide.com</t>
  </si>
  <si>
    <t>CC:</t>
  </si>
  <si>
    <t>nathan.brown@aciworldwide.com</t>
  </si>
  <si>
    <t>steve.riddick@aciworldwide.com</t>
  </si>
  <si>
    <t>Jeff.Rawson@aciworldwide.com</t>
  </si>
  <si>
    <t>Neelima.Inti@aciworldwide.com</t>
  </si>
  <si>
    <t>bev.hrabik@aciworldwide.com</t>
  </si>
  <si>
    <t>jaime.danielson@aciworldwide.com</t>
  </si>
  <si>
    <t>Go Live Project Health by Customer</t>
  </si>
  <si>
    <t>anne.welch@aciworldwide.com</t>
  </si>
  <si>
    <t>amy.haney@aciworldwide.com</t>
  </si>
  <si>
    <t xml:space="preserve">CHIPs Go Live </t>
  </si>
  <si>
    <t>alina.gugu@aciworldwide.com</t>
  </si>
  <si>
    <t>Adam.Needel@aciworldwide.com</t>
  </si>
  <si>
    <t>rammurthy.boga@aciworldwide.com</t>
  </si>
  <si>
    <t>craig.ramsey@aciworldwide.com</t>
  </si>
  <si>
    <t>denise.lunn@aciworldwide.com</t>
  </si>
  <si>
    <t>sai.kalaga@aciworldwide.com</t>
  </si>
  <si>
    <t>erin.woosley@aciworldwide.com</t>
  </si>
  <si>
    <t>matt.addison@aciworldwide.com</t>
  </si>
  <si>
    <t>matthew.grech@aciworldwide.com</t>
  </si>
  <si>
    <t>jean.espinal@aciworldwide.com</t>
  </si>
  <si>
    <t>melvin.renderos@aciworldwide.com</t>
  </si>
  <si>
    <t>matthew.tannahill@aciworldwide.com</t>
  </si>
  <si>
    <t>peter.lee@aciworldwide.com</t>
  </si>
  <si>
    <t>james.mcilhagga@aciworldwide.com</t>
  </si>
  <si>
    <t>FED ISO – Technical Go Live Status Update, mm/yy – (Please provide at the beginning and end of day unless help is needed.)</t>
  </si>
  <si>
    <t>a. Go Live Overall Status:  Green and stable</t>
  </si>
  <si>
    <t>b. Customer Temperature:  Green and stable</t>
  </si>
  <si>
    <t>c. Notes:</t>
  </si>
  <si>
    <t>BOA started their technical go live on time at 8pm ET</t>
  </si>
  <si>
    <t>ACI and BoA Resources are on a joint war room and all contact numbers have been provided.</t>
  </si>
  <si>
    <t>d. Cases:</t>
  </si>
  <si>
    <t>Number of P1 Issues:  None at this time</t>
  </si>
  <si>
    <t>Number of P2 Issues:  None at this time</t>
  </si>
  <si>
    <t>e. Help Needed:  None at this time</t>
  </si>
  <si>
    <t>FED ISO Transactions</t>
  </si>
  <si>
    <t>SF Priority Cases</t>
  </si>
  <si>
    <r>
      <rPr>
        <b/>
        <sz val="9"/>
        <color theme="0"/>
        <rFont val="Calibri"/>
        <family val="2"/>
        <scheme val="minor"/>
      </rPr>
      <t>Technical Go Live Status</t>
    </r>
    <r>
      <rPr>
        <b/>
        <sz val="9"/>
        <color rgb="FF00B050"/>
        <rFont val="Calibri"/>
        <family val="2"/>
        <scheme val="minor"/>
      </rPr>
      <t xml:space="preserve"> (Green</t>
    </r>
    <r>
      <rPr>
        <sz val="9"/>
        <color theme="1"/>
        <rFont val="Calibri"/>
        <family val="2"/>
        <scheme val="minor"/>
      </rPr>
      <t xml:space="preserve">, </t>
    </r>
    <r>
      <rPr>
        <b/>
        <sz val="9"/>
        <color rgb="FFF2C400"/>
        <rFont val="Calibri"/>
        <family val="2"/>
        <scheme val="minor"/>
      </rPr>
      <t>Amber</t>
    </r>
    <r>
      <rPr>
        <sz val="9"/>
        <color theme="1"/>
        <rFont val="Calibri"/>
        <family val="2"/>
        <scheme val="minor"/>
      </rPr>
      <t xml:space="preserve">, </t>
    </r>
    <r>
      <rPr>
        <b/>
        <sz val="9"/>
        <color rgb="FFFF0000"/>
        <rFont val="Calibri"/>
        <family val="2"/>
        <scheme val="minor"/>
      </rPr>
      <t>Red)</t>
    </r>
  </si>
  <si>
    <r>
      <rPr>
        <b/>
        <sz val="9"/>
        <color theme="0"/>
        <rFont val="Calibri"/>
        <family val="2"/>
        <scheme val="minor"/>
      </rPr>
      <t>FED ISO Go Live Status</t>
    </r>
    <r>
      <rPr>
        <b/>
        <sz val="9"/>
        <color rgb="FF00B050"/>
        <rFont val="Calibri"/>
        <family val="2"/>
        <scheme val="minor"/>
      </rPr>
      <t xml:space="preserve"> (Green</t>
    </r>
    <r>
      <rPr>
        <sz val="9"/>
        <color theme="1"/>
        <rFont val="Calibri"/>
        <family val="2"/>
        <scheme val="minor"/>
      </rPr>
      <t xml:space="preserve">, </t>
    </r>
    <r>
      <rPr>
        <b/>
        <sz val="9"/>
        <color rgb="FFF2C400"/>
        <rFont val="Calibri"/>
        <family val="2"/>
        <scheme val="minor"/>
      </rPr>
      <t>Amber</t>
    </r>
    <r>
      <rPr>
        <sz val="9"/>
        <color theme="1"/>
        <rFont val="Calibri"/>
        <family val="2"/>
        <scheme val="minor"/>
      </rPr>
      <t xml:space="preserve">, </t>
    </r>
    <r>
      <rPr>
        <b/>
        <sz val="9"/>
        <color rgb="FFFF0000"/>
        <rFont val="Calibri"/>
        <family val="2"/>
        <scheme val="minor"/>
      </rPr>
      <t>Red)</t>
    </r>
  </si>
  <si>
    <t>Status Summary</t>
  </si>
  <si>
    <t xml:space="preserve"># Inbound </t>
  </si>
  <si>
    <t># Outbound</t>
  </si>
  <si>
    <t>P1</t>
  </si>
  <si>
    <t>P2</t>
  </si>
  <si>
    <t>P3</t>
  </si>
  <si>
    <t>8AM ET, 7/14/25</t>
  </si>
  <si>
    <t>Monitoring Receipt of PROD ISO formatted messages</t>
  </si>
  <si>
    <t>Joint triage requested 7:45am, issue resolved</t>
  </si>
  <si>
    <t>01234567</t>
  </si>
  <si>
    <t>01234568</t>
  </si>
  <si>
    <t>01234569</t>
  </si>
  <si>
    <t>10AM ET, 7/14/25</t>
  </si>
  <si>
    <t>12PM ET, 7/14/25</t>
  </si>
  <si>
    <t>2PM ET, 7/14/25</t>
  </si>
  <si>
    <t>4PM ET, 7/14/25</t>
  </si>
  <si>
    <t>6PM ET, 7/14/25</t>
  </si>
  <si>
    <t>8AM ET, 7/15/25</t>
  </si>
  <si>
    <t>11AM ET, 7/15/25</t>
  </si>
  <si>
    <t>2PM ET, 7/15/25</t>
  </si>
  <si>
    <t>5PM ET, 7/15/25</t>
  </si>
  <si>
    <t>12PM ET, 7/16/25</t>
  </si>
  <si>
    <t>6PM ET, 7/16/25</t>
  </si>
  <si>
    <t>12PM ET, 7/17/25</t>
  </si>
  <si>
    <t>6PM ET, 7/17/25</t>
  </si>
  <si>
    <t>12PM ET, 7/18/25</t>
  </si>
  <si>
    <t>6PM ET, 7/18/25</t>
  </si>
  <si>
    <t>General Communication Plan</t>
  </si>
  <si>
    <t>ISO Team Chat Room</t>
  </si>
  <si>
    <t>On Call Bridge</t>
  </si>
  <si>
    <t>Note book creation</t>
  </si>
  <si>
    <t>BANK Contact Sheet</t>
  </si>
  <si>
    <t>Customer</t>
  </si>
  <si>
    <t>On Prem / AOD</t>
  </si>
  <si>
    <t>Delivery Exec</t>
  </si>
  <si>
    <t>Bank - Sr Contact Name</t>
  </si>
  <si>
    <t>Bank Sr Contact Title</t>
  </si>
  <si>
    <t>Bank Sr Contact E-mail</t>
  </si>
  <si>
    <t>On Prem</t>
  </si>
  <si>
    <t>Pengfei Cong</t>
  </si>
  <si>
    <t>Head of IT</t>
  </si>
  <si>
    <t>congpengfei@abchinausa.com</t>
  </si>
  <si>
    <t>Andrew McKibben</t>
  </si>
  <si>
    <t>Managing Director; GCIB/GPS Technology CIO and International Head of Technology</t>
  </si>
  <si>
    <t>andrew.mckibben@bofa.com</t>
  </si>
  <si>
    <t>Waymon Chen</t>
  </si>
  <si>
    <t>Managing Director; AMRS Payment &amp; Core Cash Technology and Head of LATAM &amp; Canada Tech</t>
  </si>
  <si>
    <t>waymon.n.chen@bofa.com</t>
  </si>
  <si>
    <t>Kumar Subramanyan</t>
  </si>
  <si>
    <t>Managing Director; US Payments Technology</t>
  </si>
  <si>
    <t>kumar.subramanyan@bofa.com</t>
  </si>
  <si>
    <t>Maria Mason</t>
  </si>
  <si>
    <t>Senior Digital Product Director, Senior Vice President</t>
  </si>
  <si>
    <t>Maria.Mason@CitizensBank.com</t>
  </si>
  <si>
    <t>Eric Sandoz</t>
  </si>
  <si>
    <t>SVP, Head of Core Payments &amp; Treasury Technology</t>
  </si>
  <si>
    <t>Eric.Sandoz@cnb.com</t>
  </si>
  <si>
    <t>Sheila Card-Jones</t>
  </si>
  <si>
    <t>SVP, Director of Global Funds Transfer</t>
  </si>
  <si>
    <t>sdcard-jones@comerica.com</t>
  </si>
  <si>
    <t>Asbjorn Ure</t>
  </si>
  <si>
    <t>Department Head</t>
  </si>
  <si>
    <t>asbjorn.ure@dnb.no</t>
  </si>
  <si>
    <t>Federal Home Loan Bank - NY</t>
  </si>
  <si>
    <t>Anastasiya Svyatova</t>
  </si>
  <si>
    <t>AVP, Bank Operations Project Services</t>
  </si>
  <si>
    <t>anastasiya.svyatova@fhlbny.com</t>
  </si>
  <si>
    <t>Wendy Eversley</t>
  </si>
  <si>
    <t>Director of Safekeeping, EPayments &amp; Compliance</t>
  </si>
  <si>
    <t>weversley@fhlbatl.com</t>
  </si>
  <si>
    <t>Federal Home Loan Bank of Cincinnati</t>
  </si>
  <si>
    <t>Diane Halpin</t>
  </si>
  <si>
    <t>Correspondent Services Officer</t>
  </si>
  <si>
    <t>HalpinDM@fhlbcin.com</t>
  </si>
  <si>
    <t>Federal Home Loan Bank of Des Moines</t>
  </si>
  <si>
    <t>Cherie Schuler</t>
  </si>
  <si>
    <t>Senior Director Member and Financial Operations</t>
  </si>
  <si>
    <t>cschuler@fhlbdm.com</t>
  </si>
  <si>
    <t>Rodney Baker</t>
  </si>
  <si>
    <t>Vice President, IT Director – Treasury Management'</t>
  </si>
  <si>
    <t>Rodney.Baker@53.com</t>
  </si>
  <si>
    <t>Ed Char</t>
  </si>
  <si>
    <t>Vice President and Digital Payments Operations Manager</t>
  </si>
  <si>
    <t>echar@fhb.com</t>
  </si>
  <si>
    <t>Nancy Bradley</t>
  </si>
  <si>
    <t>Sr Vice President, Director of Payment &amp; Process Operations</t>
  </si>
  <si>
    <t>nebradley@firsthorizon.com</t>
  </si>
  <si>
    <t>RAMSON, JAMES E</t>
  </si>
  <si>
    <t>VP, Payables Product Team Lead</t>
  </si>
  <si>
    <t>JERamson@firsthorizon.com</t>
  </si>
  <si>
    <t>Sammy Sufian</t>
  </si>
  <si>
    <t>SVP Technology</t>
  </si>
  <si>
    <t>ssufian@fnbo.com</t>
  </si>
  <si>
    <t>Barbara Beckmann</t>
  </si>
  <si>
    <t>Executive Vice President - Director of Operations</t>
  </si>
  <si>
    <t xml:space="preserve">bbeckmann@flushingbank.com </t>
  </si>
  <si>
    <t>Tarun Dewan</t>
  </si>
  <si>
    <t>SVP, Head Digital Channels and Payments</t>
  </si>
  <si>
    <t>Tarun.Dewan@frostbank.com</t>
  </si>
  <si>
    <t xml:space="preserve">Linda Albornoz </t>
  </si>
  <si>
    <t xml:space="preserve">CIO </t>
  </si>
  <si>
    <t>Linda.Albornoz@frostbank.com</t>
  </si>
  <si>
    <t>Adriana Hastings</t>
  </si>
  <si>
    <t>EVP, Treasury Management Director</t>
  </si>
  <si>
    <t>Adriana.Hastings@huntington.com</t>
  </si>
  <si>
    <t>Rob Fasanello</t>
  </si>
  <si>
    <t>Head of Corporate Application Services</t>
  </si>
  <si>
    <t>Robert.Fasanello@mizuhogroup.com</t>
  </si>
  <si>
    <t>Northern Trust Bank - New York</t>
  </si>
  <si>
    <t>Farooq Jawaid</t>
  </si>
  <si>
    <t>Chief Information Officer – Cash &amp; Corporate Services</t>
  </si>
  <si>
    <t>fj16@ntrs.com</t>
  </si>
  <si>
    <t>Natarajan Muralidharan</t>
  </si>
  <si>
    <t>Head of Cash Technology | Cash and Corporate Services</t>
  </si>
  <si>
    <t>nm177@ntrs.com</t>
  </si>
  <si>
    <t>Franklin Danley</t>
  </si>
  <si>
    <t>EVP, Head of Payment Operations</t>
  </si>
  <si>
    <t>franklin.danley@regions.com</t>
  </si>
  <si>
    <t>Standard Chartered Bank - New York</t>
  </si>
  <si>
    <t>Ka Fui Chin</t>
  </si>
  <si>
    <t>Ivy Yee</t>
  </si>
  <si>
    <t>Head of Technology - Liquidity, Collections, Billing &amp; Pricing, FI Clearing, Messaging and Payment Utilities</t>
  </si>
  <si>
    <t>ivy.yee@sc.com</t>
  </si>
  <si>
    <t>Venkat Raghavan</t>
  </si>
  <si>
    <t>CIO, Cash</t>
  </si>
  <si>
    <t>venkat.raghavan@sc.com</t>
  </si>
  <si>
    <t xml:space="preserve">State Street </t>
  </si>
  <si>
    <t>Jay Fulchino</t>
  </si>
  <si>
    <t>Executive Vice President and Head of Custody and Centralized Services</t>
  </si>
  <si>
    <t>jfulchino@StateStreet.com</t>
  </si>
  <si>
    <t xml:space="preserve">Kartikesh Herur </t>
  </si>
  <si>
    <t xml:space="preserve">Executive Vice President and Chief Information Officer </t>
  </si>
  <si>
    <t>KHerur@StateStreet.com</t>
  </si>
  <si>
    <t>Brian Franz</t>
  </si>
  <si>
    <t xml:space="preserve">Chief Information Officer and Head of Enterprise Resiliency </t>
  </si>
  <si>
    <t>bfranz@statestreet.com</t>
  </si>
  <si>
    <t>Venkat Banu</t>
  </si>
  <si>
    <t>SVP, Global Head of Payment Technology</t>
  </si>
  <si>
    <t>Banu.Venkat@truist.com</t>
  </si>
  <si>
    <t>Uma Wilson</t>
  </si>
  <si>
    <t>Executive Vice President, Chief Information &amp; Product Officer</t>
  </si>
  <si>
    <t>Uma.Wilson@umb.com</t>
  </si>
  <si>
    <t>Wells Fargo (EMTS)</t>
  </si>
  <si>
    <t>Sarah Berwick</t>
  </si>
  <si>
    <t>CIO Commercial and Corporate &amp; Investment Banking Technology</t>
  </si>
  <si>
    <t>Sarah.Berwick@wellsfargo.com</t>
  </si>
  <si>
    <t>Wells Fargo (GMTS)</t>
  </si>
  <si>
    <t>Frank Dipuma</t>
  </si>
  <si>
    <t>EVP, Director of Enterprise Corporate Treasury Manager</t>
  </si>
  <si>
    <t>frank.dipuma@zionsbancorp.com</t>
  </si>
  <si>
    <t>Key</t>
  </si>
  <si>
    <t>Internal Ref ID</t>
  </si>
  <si>
    <t>Links</t>
  </si>
  <si>
    <t>Summary</t>
  </si>
  <si>
    <t>Created</t>
  </si>
  <si>
    <t>Go Forward Plan</t>
  </si>
  <si>
    <t>Targeted Date Out of Development</t>
  </si>
  <si>
    <t>Targeted Date Out of Development2</t>
  </si>
  <si>
    <t>JIRA ID</t>
  </si>
  <si>
    <t>P1/P2</t>
  </si>
  <si>
    <t>Group</t>
  </si>
  <si>
    <t>Notes/Resolution</t>
  </si>
  <si>
    <t>Why was this not caught early?</t>
  </si>
  <si>
    <t>Customer​</t>
  </si>
  <si>
    <t>PM/ Delivery Executive​</t>
  </si>
  <si>
    <t>Implementation Plan Delivery Date</t>
  </si>
  <si>
    <t>Technical Go-Live Date ​</t>
  </si>
  <si>
    <t>First Transaction (EST)</t>
  </si>
  <si>
    <t>Gene/Dominic</t>
  </si>
  <si>
    <t>Andee/Christine</t>
  </si>
  <si>
    <t>Dayro/Christine</t>
  </si>
  <si>
    <t>Nisha/Dominic</t>
  </si>
  <si>
    <t>Celia/Christine</t>
  </si>
  <si>
    <t>Raja/Celia/Jeff</t>
  </si>
  <si>
    <t>Wanda/Jeff</t>
  </si>
  <si>
    <t>Christy/Christine</t>
  </si>
  <si>
    <t>Christy/Dominic</t>
  </si>
  <si>
    <t>Stephen/Jeff</t>
  </si>
  <si>
    <t>War Room Coordinator</t>
  </si>
  <si>
    <t>Contact Details</t>
  </si>
  <si>
    <t>404.734.7194</t>
  </si>
  <si>
    <t>402.301.1121</t>
  </si>
  <si>
    <t>402.306.6957</t>
  </si>
  <si>
    <t>402.318.1765</t>
  </si>
  <si>
    <t>402.968.3867</t>
  </si>
  <si>
    <t>404-805-6273</t>
  </si>
  <si>
    <t>404.955.7467</t>
  </si>
  <si>
    <t>402.321.9741</t>
  </si>
  <si>
    <t>404-259-6484</t>
  </si>
  <si>
    <t>INFRASTRUCTURE</t>
  </si>
  <si>
    <t>214.205.0487</t>
  </si>
  <si>
    <t>781-439-2861</t>
  </si>
  <si>
    <t>801.884.3515</t>
  </si>
  <si>
    <t>Carlos Castaneda Juan</t>
  </si>
  <si>
    <t>402.686.5002</t>
  </si>
  <si>
    <t>416 930 4430</t>
  </si>
  <si>
    <t>317.440.3364</t>
  </si>
  <si>
    <t>APP SUPPORT</t>
  </si>
  <si>
    <t>617.901.9603</t>
  </si>
  <si>
    <t>617.872.0118</t>
  </si>
  <si>
    <t>SA/TC SUPPORT</t>
  </si>
  <si>
    <t>Kristen Bagdasarian</t>
  </si>
  <si>
    <t>617.930.2164</t>
  </si>
  <si>
    <t>Jennifer Lytle</t>
  </si>
  <si>
    <t>303.472.8597</t>
  </si>
  <si>
    <t>Tim Joyce</t>
  </si>
  <si>
    <t>929.706.7095</t>
  </si>
  <si>
    <t>617 930 8279</t>
  </si>
  <si>
    <t>508.397.1676</t>
  </si>
  <si>
    <t>Scott Bobeck</t>
  </si>
  <si>
    <t>863.873.0026</t>
  </si>
  <si>
    <t>203.470.1030</t>
  </si>
  <si>
    <t>Phil Hegarty</t>
  </si>
  <si>
    <t>508.361.7595</t>
  </si>
  <si>
    <t>Donna Kehoe</t>
  </si>
  <si>
    <t>617.438.6533</t>
  </si>
  <si>
    <t>Amit Kulkarni</t>
  </si>
  <si>
    <t>678.600.1415</t>
  </si>
  <si>
    <t>Anjanette Mayor</t>
  </si>
  <si>
    <t xml:space="preserve">805.387.5006 </t>
  </si>
  <si>
    <t>Sharon McFarland</t>
  </si>
  <si>
    <t>415.408.1012</t>
  </si>
  <si>
    <t>Prabhu Paulraj</t>
  </si>
  <si>
    <t>215.326.9595</t>
  </si>
  <si>
    <t>Kim Roberts</t>
  </si>
  <si>
    <t>720.560.4170</t>
  </si>
  <si>
    <t>203.998.8777</t>
  </si>
  <si>
    <t>Harini Palugulla</t>
  </si>
  <si>
    <t>573.578.4251</t>
  </si>
  <si>
    <t>336.413.3008</t>
  </si>
  <si>
    <t>Janet Zirpolo</t>
  </si>
  <si>
    <t>617.971.6183</t>
  </si>
  <si>
    <t>+44 7408 868945</t>
  </si>
  <si>
    <t>Vishal Bute</t>
  </si>
  <si>
    <t>647.448.6266</t>
  </si>
  <si>
    <t>+44 7920 475980</t>
  </si>
  <si>
    <t>531.800.4530</t>
  </si>
  <si>
    <t>+91-7303088950</t>
  </si>
  <si>
    <t>Sai Vijay</t>
  </si>
  <si>
    <t>+52 56 6230 6710</t>
  </si>
  <si>
    <t>Client Project Managers</t>
  </si>
  <si>
    <t>+573 002 004 784</t>
  </si>
  <si>
    <t>402.578.3905</t>
  </si>
  <si>
    <t>512.497.0831</t>
  </si>
  <si>
    <t>Terrie Travis (PO for wells)</t>
  </si>
  <si>
    <t xml:space="preserve"> +1 817 680 9459</t>
  </si>
  <si>
    <t>706-888-9238</t>
  </si>
  <si>
    <t>Stephen Reeve</t>
  </si>
  <si>
    <t>603-340-0903</t>
  </si>
  <si>
    <t>Alanicia Howard</t>
  </si>
  <si>
    <t>770.366.1544</t>
  </si>
  <si>
    <t>Nasser Ospina</t>
  </si>
  <si>
    <t>404.923.6100</t>
  </si>
  <si>
    <t>Jason Howell</t>
  </si>
  <si>
    <t>614.402.7616</t>
  </si>
  <si>
    <t>Lim, Kheng Teong</t>
  </si>
  <si>
    <t>+60122307363</t>
  </si>
  <si>
    <t>Saeed Baig, Junaid</t>
  </si>
  <si>
    <t>346.681.9866</t>
  </si>
  <si>
    <t>Product Management</t>
  </si>
  <si>
    <t>Divalkar S Chandru</t>
  </si>
  <si>
    <t>848.228.6867</t>
  </si>
  <si>
    <t xml:space="preserve">Ashutosh Gupta  </t>
  </si>
  <si>
    <t>704.791.6099</t>
  </si>
  <si>
    <t>Joe Carey</t>
  </si>
  <si>
    <t>617.935.4368</t>
  </si>
  <si>
    <t>817-235-5929</t>
  </si>
  <si>
    <t>Product Development</t>
  </si>
  <si>
    <t>402.321.7630</t>
  </si>
  <si>
    <t>91 9619858809</t>
  </si>
  <si>
    <t>770.885.8662</t>
  </si>
  <si>
    <t>402.516.2016</t>
  </si>
  <si>
    <t>Srini  Pembarthi</t>
  </si>
  <si>
    <t>91 9948664977</t>
  </si>
  <si>
    <t>Hari Shanker Pankajakshan</t>
  </si>
  <si>
    <t>061-260852</t>
  </si>
  <si>
    <t>BNPPF On-Call Team</t>
  </si>
  <si>
    <t>+91 (99) 6086 2450</t>
  </si>
  <si>
    <t>+44 (0)7408 868 945</t>
  </si>
  <si>
    <t>+44 (0)7920 475 980</t>
  </si>
  <si>
    <t>Ludmila Kheyar</t>
  </si>
  <si>
    <t>+33 (7) 7730 54 50</t>
  </si>
  <si>
    <t xml:space="preserve">November Mandates Go Live  RAG Status &amp; Update </t>
  </si>
  <si>
    <t>11/23 - 11/26</t>
  </si>
  <si>
    <t>Bank</t>
  </si>
  <si>
    <t>11/23 Overall Status (RAG)</t>
  </si>
  <si>
    <t>10pm Update</t>
  </si>
  <si>
    <t>11/23 COMMENTS</t>
  </si>
  <si>
    <t>Overall Status (RAG)</t>
  </si>
  <si>
    <t>8am Update</t>
  </si>
  <si>
    <t>9am Update</t>
  </si>
  <si>
    <t>10am Update</t>
  </si>
  <si>
    <t>12pm Update</t>
  </si>
  <si>
    <t>2pm Update</t>
  </si>
  <si>
    <t>3pm Update</t>
  </si>
  <si>
    <t>4pm Update</t>
  </si>
  <si>
    <t>6pm Update</t>
  </si>
  <si>
    <t>8pm Update</t>
  </si>
  <si>
    <t>11/24 COMMENTS</t>
  </si>
  <si>
    <t>11/25 COMMENTS</t>
  </si>
  <si>
    <t>5pm Update</t>
  </si>
  <si>
    <t>11/26 COMMENTS</t>
  </si>
  <si>
    <t>Not Reported</t>
  </si>
  <si>
    <t>GM Enabled</t>
  </si>
  <si>
    <t>Further Data</t>
  </si>
  <si>
    <t>Bank of America (RTPS)</t>
  </si>
  <si>
    <t>Fifth Third Bank (RTPS)</t>
  </si>
  <si>
    <t>Northern Trust Bank - New York NTC (RTPS)</t>
  </si>
  <si>
    <t>State Street (RTPS)</t>
  </si>
  <si>
    <t>Truist Bank (RTPS)</t>
  </si>
  <si>
    <t>Wells(EMTS-WEL) (RTPS)</t>
  </si>
  <si>
    <t>Fix Pack Version</t>
  </si>
  <si>
    <t>Region</t>
  </si>
  <si>
    <t>UPF On</t>
  </si>
  <si>
    <t>ISO 'On'</t>
  </si>
  <si>
    <r>
      <t xml:space="preserve">Implementation Details - </t>
    </r>
    <r>
      <rPr>
        <b/>
        <sz val="11"/>
        <color rgb="FFFF0000"/>
        <rFont val="Calibri"/>
        <family val="2"/>
        <scheme val="minor"/>
      </rPr>
      <t>Include UPF Components</t>
    </r>
  </si>
  <si>
    <t>Damo Vaddeppalli</t>
  </si>
  <si>
    <t>Debalina Dogra</t>
  </si>
  <si>
    <t>Suraj Bothe</t>
  </si>
  <si>
    <t>Tomas Rojas 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</si>
</sst>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
    <numFmt numFmtId="165" formatCode="ddd\,\ mmmm\ dd\,\ yyyy"/>
    <numFmt numFmtId="166" formatCode="[$-F800]dddd\,\ mmmm\ dd\,\ yyyy"/>
  </numFmts>
  <fonts count="88">
    <font>
      <sz val="11"/>
      <color theme="1"/>
      <name val="Calibri"/>
      <family val="2"/>
      <scheme val="minor"/>
    </font>
    <font>
      <b/>
      <sz val="11"/>
      <color rgb="FF000000"/>
      <name val="Calibri"/>
      <family val="2"/>
      <scheme val="minor"/>
    </font>
    <font>
      <sz val="11"/>
      <color rgb="FF000000"/>
      <name val="Calibri"/>
      <family val="2"/>
      <scheme val="minor"/>
    </font>
    <font>
      <sz val="7"/>
      <color theme="1"/>
      <name val="Times New Roman"/>
      <family val="1"/>
    </font>
    <font>
      <b/>
      <sz val="11"/>
      <color rgb="FFFF0000"/>
      <name val="Calibri"/>
      <family val="2"/>
      <scheme val="minor"/>
    </font>
    <font>
      <sz val="11"/>
      <color rgb="FF00B050"/>
      <name val="Calibri"/>
      <family val="2"/>
      <scheme val="minor"/>
    </font>
    <font>
      <sz val="11"/>
      <name val="Calibri"/>
      <family val="2"/>
      <scheme val="minor"/>
    </font>
    <font>
      <sz val="11"/>
      <color rgb="FF000000"/>
      <name val="Calibri"/>
      <family val="2"/>
    </font>
    <font>
      <strike/>
      <sz val="11"/>
      <color rgb="FF000000"/>
      <name val="Calibri"/>
      <family val="2"/>
    </font>
    <font>
      <sz val="11"/>
      <color rgb="FF00B050"/>
      <name val="Calibri"/>
      <family val="2"/>
    </font>
    <font>
      <sz val="11"/>
      <color rgb="FFFF0000"/>
      <name val="Calibri"/>
      <family val="2"/>
    </font>
    <font>
      <sz val="11"/>
      <color rgb="FF444444"/>
      <name val="Calibri"/>
      <family val="2"/>
      <charset val="1"/>
    </font>
    <font>
      <b/>
      <sz val="11"/>
      <name val="Calibri"/>
      <family val="2"/>
      <scheme val="minor"/>
    </font>
    <font>
      <sz val="11"/>
      <name val="Calibri"/>
      <family val="2"/>
    </font>
    <font>
      <b/>
      <sz val="11"/>
      <color rgb="FF000000"/>
      <name val="Calibri"/>
      <family val="2"/>
    </font>
    <font>
      <b/>
      <sz val="11"/>
      <color rgb="FFFF0000"/>
      <name val="Calibri"/>
      <family val="2"/>
    </font>
    <font>
      <sz val="11"/>
      <color rgb="FF1F3864"/>
      <name val="Calibri"/>
      <family val="2"/>
    </font>
    <font>
      <sz val="11"/>
      <color theme="1"/>
      <name val="Calibri"/>
      <family val="2"/>
    </font>
    <font>
      <b/>
      <sz val="11"/>
      <color theme="1"/>
      <name val="Calibri"/>
      <family val="2"/>
      <scheme val="minor"/>
    </font>
    <font>
      <sz val="11"/>
      <color theme="0"/>
      <name val="Calibri"/>
      <family val="2"/>
      <scheme val="minor"/>
    </font>
    <font>
      <i/>
      <sz val="11"/>
      <color theme="1"/>
      <name val="Calibri"/>
      <family val="2"/>
      <scheme val="minor"/>
    </font>
    <font>
      <u/>
      <sz val="11"/>
      <color theme="10"/>
      <name val="Calibri"/>
      <family val="2"/>
      <scheme val="minor"/>
    </font>
    <font>
      <b/>
      <sz val="12"/>
      <color theme="1"/>
      <name val="Calibri"/>
      <family val="2"/>
      <scheme val="minor"/>
    </font>
    <font>
      <sz val="16"/>
      <color rgb="FF2F5496"/>
      <name val="Calibri Light"/>
      <family val="2"/>
    </font>
    <font>
      <b/>
      <u/>
      <sz val="11"/>
      <color theme="1"/>
      <name val="Calibri"/>
      <family val="2"/>
      <scheme val="minor"/>
    </font>
    <font>
      <sz val="13"/>
      <color rgb="FF2F5496"/>
      <name val="Calibri Light"/>
      <family val="2"/>
    </font>
    <font>
      <sz val="11"/>
      <color theme="1"/>
      <name val="Symbol"/>
      <family val="1"/>
      <charset val="2"/>
    </font>
    <font>
      <sz val="11"/>
      <color theme="1"/>
      <name val="Courier New"/>
      <family val="3"/>
    </font>
    <font>
      <b/>
      <sz val="16"/>
      <color theme="1"/>
      <name val="Calibri"/>
      <family val="2"/>
      <scheme val="minor"/>
    </font>
    <font>
      <sz val="8"/>
      <name val="Calibri"/>
      <family val="2"/>
      <scheme val="minor"/>
    </font>
    <font>
      <sz val="11"/>
      <color theme="1"/>
      <name val="Calibri"/>
      <family val="2"/>
      <charset val="1"/>
    </font>
    <font>
      <sz val="11"/>
      <color rgb="FF000000"/>
      <name val="Symbol"/>
      <family val="1"/>
      <charset val="2"/>
    </font>
    <font>
      <b/>
      <sz val="9"/>
      <color rgb="FFFFFFFF"/>
      <name val="Arial"/>
      <family val="2"/>
    </font>
    <font>
      <sz val="9"/>
      <color rgb="FF000000"/>
      <name val="Arial"/>
      <family val="2"/>
    </font>
    <font>
      <sz val="13"/>
      <color rgb="FFFF0000"/>
      <name val="Calibri Light"/>
      <family val="2"/>
    </font>
    <font>
      <sz val="13"/>
      <color rgb="FF00B050"/>
      <name val="Calibri Light"/>
      <family val="2"/>
    </font>
    <font>
      <sz val="13"/>
      <color rgb="FFFFFF00"/>
      <name val="Calibri Light"/>
      <family val="2"/>
    </font>
    <font>
      <b/>
      <sz val="11"/>
      <color theme="0"/>
      <name val="Calibri"/>
      <family val="2"/>
    </font>
    <font>
      <b/>
      <sz val="18"/>
      <color theme="1"/>
      <name val="Calibri"/>
      <family val="2"/>
      <scheme val="minor"/>
    </font>
    <font>
      <b/>
      <sz val="20"/>
      <name val="Calibri"/>
      <family val="2"/>
    </font>
    <font>
      <b/>
      <sz val="11"/>
      <color rgb="FFFFFFFF"/>
      <name val="Calibri"/>
      <family val="2"/>
    </font>
    <font>
      <sz val="18"/>
      <name val="Arial"/>
      <family val="2"/>
    </font>
    <font>
      <sz val="11"/>
      <color rgb="FF000000"/>
      <name val="Aptos Narrow"/>
      <family val="2"/>
    </font>
    <font>
      <b/>
      <sz val="11"/>
      <color rgb="FFFFFFFF"/>
      <name val="Aptos Narrow"/>
      <family val="2"/>
    </font>
    <font>
      <b/>
      <sz val="11"/>
      <name val="Aptos Narrow"/>
      <family val="2"/>
    </font>
    <font>
      <sz val="11"/>
      <name val="Aptos Narrow"/>
      <family val="2"/>
    </font>
    <font>
      <u/>
      <sz val="11"/>
      <color rgb="FF467886"/>
      <name val="Aptos Narrow"/>
      <family val="2"/>
    </font>
    <font>
      <sz val="11"/>
      <color rgb="FF000000"/>
      <name val="Courier New"/>
      <family val="3"/>
    </font>
    <font>
      <sz val="7"/>
      <color rgb="FF000000"/>
      <name val="Times New Roman"/>
      <family val="1"/>
    </font>
    <font>
      <i/>
      <sz val="11"/>
      <color rgb="FF000000"/>
      <name val="Calibri"/>
      <family val="2"/>
      <scheme val="minor"/>
    </font>
    <font>
      <i/>
      <sz val="12"/>
      <color theme="1"/>
      <name val="Aptos"/>
      <family val="2"/>
    </font>
    <font>
      <b/>
      <sz val="12"/>
      <name val="Calibri"/>
      <family val="2"/>
      <scheme val="minor"/>
    </font>
    <font>
      <sz val="11"/>
      <color rgb="FFFF0000"/>
      <name val="Calibri"/>
      <family val="2"/>
      <scheme val="minor"/>
    </font>
    <font>
      <b/>
      <sz val="11"/>
      <color theme="0"/>
      <name val="Calibri"/>
      <family val="2"/>
      <scheme val="minor"/>
    </font>
    <font>
      <b/>
      <sz val="11"/>
      <color rgb="FF000000"/>
      <name val="Calibri"/>
      <scheme val="minor"/>
    </font>
    <font>
      <sz val="11"/>
      <color rgb="FF000000"/>
      <name val="Calibri"/>
      <scheme val="minor"/>
    </font>
    <font>
      <b/>
      <sz val="14"/>
      <color theme="0"/>
      <name val="Calibri"/>
      <family val="2"/>
      <scheme val="minor"/>
    </font>
    <font>
      <sz val="11"/>
      <color rgb="FF000000"/>
      <name val="Aptos Narrow"/>
    </font>
    <font>
      <sz val="11"/>
      <name val="Aptos Narrow"/>
    </font>
    <font>
      <sz val="11"/>
      <color rgb="FF000000"/>
      <name val="Calibri"/>
    </font>
    <font>
      <b/>
      <sz val="11"/>
      <name val="Calibri"/>
      <family val="2"/>
    </font>
    <font>
      <sz val="11"/>
      <color theme="1"/>
      <name val="Calibri"/>
      <charset val="1"/>
    </font>
    <font>
      <sz val="11"/>
      <color rgb="FF000000"/>
      <name val="Symbol"/>
    </font>
    <font>
      <sz val="7"/>
      <color rgb="FF000000"/>
      <name val="Times New Roman"/>
    </font>
    <font>
      <sz val="18"/>
      <color rgb="FF000000"/>
      <name val="Arial"/>
      <family val="2"/>
    </font>
    <font>
      <b/>
      <sz val="20"/>
      <color theme="0"/>
      <name val="Calibri"/>
      <family val="2"/>
    </font>
    <font>
      <sz val="12"/>
      <color rgb="FF000000"/>
      <name val="Calibri Light"/>
      <family val="2"/>
    </font>
    <font>
      <b/>
      <sz val="12"/>
      <color rgb="FF000000"/>
      <name val="Calibri Light"/>
      <family val="2"/>
    </font>
    <font>
      <b/>
      <sz val="9"/>
      <color theme="0"/>
      <name val="Calibri"/>
      <family val="2"/>
      <scheme val="minor"/>
    </font>
    <font>
      <b/>
      <sz val="10"/>
      <color rgb="FFFFFFFF"/>
      <name val="Arial"/>
    </font>
    <font>
      <b/>
      <sz val="9"/>
      <color rgb="FFFFFFFF"/>
      <name val="Calibri"/>
      <family val="2"/>
      <scheme val="minor"/>
    </font>
    <font>
      <b/>
      <sz val="9"/>
      <color rgb="FF00B050"/>
      <name val="Calibri"/>
      <family val="2"/>
      <scheme val="minor"/>
    </font>
    <font>
      <sz val="9"/>
      <color theme="1"/>
      <name val="Calibri"/>
      <family val="2"/>
      <scheme val="minor"/>
    </font>
    <font>
      <b/>
      <sz val="9"/>
      <color rgb="FFF2C400"/>
      <name val="Calibri"/>
      <family val="2"/>
      <scheme val="minor"/>
    </font>
    <font>
      <b/>
      <sz val="9"/>
      <color rgb="FFFF0000"/>
      <name val="Calibri"/>
      <family val="2"/>
      <scheme val="minor"/>
    </font>
    <font>
      <b/>
      <sz val="11"/>
      <color rgb="FFFFFFFF"/>
      <name val="Calibri"/>
    </font>
    <font>
      <sz val="9"/>
      <color rgb="FFFFFFFF"/>
      <name val="Calibri"/>
    </font>
    <font>
      <b/>
      <sz val="9"/>
      <color rgb="FFFFFFFF"/>
      <name val="Calibri"/>
    </font>
    <font>
      <sz val="12"/>
      <color rgb="FF000000"/>
      <name val="Arial"/>
      <family val="2"/>
    </font>
    <font>
      <b/>
      <sz val="11"/>
      <color rgb="FF0070C0"/>
      <name val="Calibri"/>
      <family val="2"/>
      <scheme val="minor"/>
    </font>
    <font>
      <sz val="11"/>
      <color rgb="FF000000"/>
      <name val="Courier New"/>
    </font>
    <font>
      <sz val="11"/>
      <color rgb="FF242424"/>
      <name val="Aptos Narrow"/>
      <charset val="1"/>
    </font>
    <font>
      <sz val="11"/>
      <color rgb="FF000000"/>
      <name val="Calibri"/>
      <charset val="1"/>
    </font>
    <font>
      <sz val="10"/>
      <name val="Calibri"/>
      <family val="2"/>
      <scheme val="minor"/>
    </font>
    <font>
      <sz val="10"/>
      <color rgb="FFFF0000"/>
      <name val="Calibri"/>
      <family val="2"/>
      <scheme val="minor"/>
    </font>
    <font>
      <sz val="10"/>
      <color theme="1"/>
      <name val="Calibri"/>
      <family val="2"/>
      <scheme val="minor"/>
    </font>
    <font>
      <sz val="11"/>
      <color theme="1"/>
      <name val="Aptos"/>
      <family val="2"/>
    </font>
    <font>
      <strike/>
      <sz val="11"/>
      <color rgb="FF000000"/>
      <name val="Calibri"/>
      <scheme val="minor"/>
    </font>
  </fonts>
  <fills count="36">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rgb="FFC6E0B4"/>
        <bgColor indexed="64"/>
      </patternFill>
    </fill>
    <fill>
      <patternFill patternType="solid">
        <fgColor theme="1"/>
        <bgColor indexed="64"/>
      </patternFill>
    </fill>
    <fill>
      <patternFill patternType="solid">
        <fgColor theme="4"/>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FFC000"/>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0"/>
        <bgColor indexed="64"/>
      </patternFill>
    </fill>
    <fill>
      <patternFill patternType="solid">
        <fgColor theme="8" tint="0.59999389629810485"/>
        <bgColor indexed="64"/>
      </patternFill>
    </fill>
    <fill>
      <patternFill patternType="solid">
        <fgColor theme="2" tint="-0.249977111117893"/>
        <bgColor indexed="64"/>
      </patternFill>
    </fill>
    <fill>
      <patternFill patternType="solid">
        <fgColor rgb="FFFFC000"/>
        <bgColor rgb="FF000000"/>
      </patternFill>
    </fill>
    <fill>
      <patternFill patternType="solid">
        <fgColor rgb="FFFF0000"/>
        <bgColor indexed="64"/>
      </patternFill>
    </fill>
    <fill>
      <patternFill patternType="solid">
        <fgColor rgb="FF0070C0"/>
        <bgColor indexed="64"/>
      </patternFill>
    </fill>
    <fill>
      <patternFill patternType="solid">
        <fgColor rgb="FF2726DD"/>
        <bgColor indexed="64"/>
      </patternFill>
    </fill>
    <fill>
      <patternFill patternType="solid">
        <fgColor rgb="FFE8E8F9"/>
        <bgColor indexed="64"/>
      </patternFill>
    </fill>
    <fill>
      <patternFill patternType="solid">
        <fgColor rgb="FFFFFFFF"/>
        <bgColor indexed="64"/>
      </patternFill>
    </fill>
    <fill>
      <patternFill patternType="solid">
        <fgColor rgb="FF4472C4"/>
        <bgColor indexed="64"/>
      </patternFill>
    </fill>
    <fill>
      <patternFill patternType="solid">
        <fgColor rgb="FF00B050"/>
        <bgColor indexed="64"/>
      </patternFill>
    </fill>
    <fill>
      <patternFill patternType="solid">
        <fgColor theme="1" tint="0.499984740745262"/>
        <bgColor indexed="64"/>
      </patternFill>
    </fill>
    <fill>
      <patternFill patternType="solid">
        <fgColor rgb="FF0070C0"/>
        <bgColor rgb="FF000000"/>
      </patternFill>
    </fill>
    <fill>
      <patternFill patternType="solid">
        <fgColor rgb="FFA6C9EC"/>
        <bgColor rgb="FF000000"/>
      </patternFill>
    </fill>
    <fill>
      <patternFill patternType="solid">
        <fgColor theme="2"/>
        <bgColor rgb="FF000000"/>
      </patternFill>
    </fill>
    <fill>
      <patternFill patternType="solid">
        <fgColor theme="0"/>
        <bgColor rgb="FF000000"/>
      </patternFill>
    </fill>
    <fill>
      <patternFill patternType="solid">
        <fgColor theme="5" tint="0.39997558519241921"/>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7" tint="0.79998168889431442"/>
        <bgColor indexed="64"/>
      </patternFill>
    </fill>
    <fill>
      <patternFill patternType="solid">
        <fgColor rgb="FFFF00FF"/>
        <bgColor indexed="64"/>
      </patternFill>
    </fill>
    <fill>
      <patternFill patternType="solid">
        <fgColor theme="4" tint="0.39997558519241921"/>
        <bgColor indexed="64"/>
      </patternFill>
    </fill>
    <fill>
      <patternFill patternType="solid">
        <fgColor theme="5" tint="0.79998168889431442"/>
        <bgColor indexed="64"/>
      </patternFill>
    </fill>
  </fills>
  <borders count="9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right/>
      <top/>
      <bottom style="medium">
        <color rgb="FF00000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indexed="64"/>
      </left>
      <right/>
      <top style="thin">
        <color indexed="64"/>
      </top>
      <bottom style="thin">
        <color indexed="64"/>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indexed="64"/>
      </right>
      <top style="medium">
        <color indexed="64"/>
      </top>
      <bottom style="thin">
        <color indexed="64"/>
      </bottom>
      <diagonal/>
    </border>
    <border>
      <left style="thin">
        <color indexed="64"/>
      </left>
      <right style="medium">
        <color rgb="FF000000"/>
      </right>
      <top style="medium">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right/>
      <top style="thin">
        <color indexed="64"/>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style="medium">
        <color indexed="64"/>
      </left>
      <right/>
      <top/>
      <bottom style="thin">
        <color indexed="64"/>
      </bottom>
      <diagonal/>
    </border>
    <border>
      <left style="thin">
        <color rgb="FF000000"/>
      </left>
      <right style="medium">
        <color rgb="FFFFFFFF"/>
      </right>
      <top style="thin">
        <color rgb="FF000000"/>
      </top>
      <bottom style="thick">
        <color rgb="FFFFFFFF"/>
      </bottom>
      <diagonal/>
    </border>
    <border>
      <left style="medium">
        <color rgb="FFFFFFFF"/>
      </left>
      <right style="medium">
        <color rgb="FFFFFFFF"/>
      </right>
      <top style="thin">
        <color rgb="FF000000"/>
      </top>
      <bottom style="thick">
        <color rgb="FFFFFFFF"/>
      </bottom>
      <diagonal/>
    </border>
    <border>
      <left style="thin">
        <color rgb="FF000000"/>
      </left>
      <right style="medium">
        <color rgb="FFFFFFFF"/>
      </right>
      <top style="thick">
        <color rgb="FFFFFFFF"/>
      </top>
      <bottom/>
      <diagonal/>
    </border>
    <border>
      <left style="medium">
        <color rgb="FFFFFFFF"/>
      </left>
      <right style="medium">
        <color rgb="FFFFFFFF"/>
      </right>
      <top style="thick">
        <color rgb="FFFFFFFF"/>
      </top>
      <bottom/>
      <diagonal/>
    </border>
    <border>
      <left style="medium">
        <color rgb="FFFFFFFF"/>
      </left>
      <right style="medium">
        <color rgb="FFFFFFFF"/>
      </right>
      <top style="medium">
        <color rgb="FFFFFFFF"/>
      </top>
      <bottom style="medium">
        <color rgb="FFFFFFFF"/>
      </bottom>
      <diagonal/>
    </border>
    <border>
      <left style="thin">
        <color rgb="FF000000"/>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thin">
        <color rgb="FF000000"/>
      </left>
      <right style="medium">
        <color rgb="FFFFFFFF"/>
      </right>
      <top/>
      <bottom style="medium">
        <color rgb="FFFFFFFF"/>
      </bottom>
      <diagonal/>
    </border>
    <border>
      <left style="thin">
        <color rgb="FF000000"/>
      </left>
      <right style="medium">
        <color rgb="FFFFFFFF"/>
      </right>
      <top style="medium">
        <color rgb="FFFFFFFF"/>
      </top>
      <bottom/>
      <diagonal/>
    </border>
    <border>
      <left style="medium">
        <color rgb="FFFFFFFF"/>
      </left>
      <right style="medium">
        <color rgb="FFFFFFFF"/>
      </right>
      <top/>
      <bottom style="medium">
        <color rgb="FFFFFFFF"/>
      </bottom>
      <diagonal/>
    </border>
    <border>
      <left style="medium">
        <color indexed="64"/>
      </left>
      <right style="medium">
        <color indexed="64"/>
      </right>
      <top style="medium">
        <color indexed="64"/>
      </top>
      <bottom style="medium">
        <color indexed="64"/>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style="thin">
        <color rgb="FF000000"/>
      </bottom>
      <diagonal/>
    </border>
    <border>
      <left style="medium">
        <color rgb="FF000000"/>
      </left>
      <right style="thin">
        <color indexed="64"/>
      </right>
      <top/>
      <bottom style="thin">
        <color indexed="64"/>
      </bottom>
      <diagonal/>
    </border>
    <border>
      <left/>
      <right style="thin">
        <color indexed="64"/>
      </right>
      <top style="thin">
        <color indexed="64"/>
      </top>
      <bottom style="medium">
        <color rgb="FF000000"/>
      </bottom>
      <diagonal/>
    </border>
    <border>
      <left/>
      <right style="medium">
        <color rgb="FF000000"/>
      </right>
      <top style="medium">
        <color rgb="FF000000"/>
      </top>
      <bottom/>
      <diagonal/>
    </border>
    <border>
      <left style="medium">
        <color rgb="FF000000"/>
      </left>
      <right style="thin">
        <color rgb="FF000000"/>
      </right>
      <top/>
      <bottom style="thin">
        <color rgb="FF000000"/>
      </bottom>
      <diagonal/>
    </border>
    <border>
      <left style="thin">
        <color indexed="64"/>
      </left>
      <right style="thin">
        <color indexed="64"/>
      </right>
      <top style="thin">
        <color indexed="64"/>
      </top>
      <bottom style="thin">
        <color theme="4" tint="0.39997558519241921"/>
      </bottom>
      <diagonal/>
    </border>
    <border>
      <left style="medium">
        <color rgb="FF000000"/>
      </left>
      <right/>
      <top/>
      <bottom style="medium">
        <color rgb="FF000000"/>
      </bottom>
      <diagonal/>
    </border>
    <border>
      <left/>
      <right style="thin">
        <color rgb="FF000000"/>
      </right>
      <top style="medium">
        <color rgb="FF000000"/>
      </top>
      <bottom/>
      <diagonal/>
    </border>
    <border>
      <left style="medium">
        <color rgb="FF000000"/>
      </left>
      <right style="thin">
        <color rgb="FF000000"/>
      </right>
      <top style="medium">
        <color rgb="FF000000"/>
      </top>
      <bottom/>
      <diagonal/>
    </border>
    <border>
      <left/>
      <right style="thin">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style="thin">
        <color rgb="FF000000"/>
      </left>
      <right style="thin">
        <color rgb="FF000000"/>
      </right>
      <top style="medium">
        <color rgb="FF000000"/>
      </top>
      <bottom/>
      <diagonal/>
    </border>
    <border>
      <left/>
      <right/>
      <top/>
      <bottom style="thick">
        <color rgb="FF2726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medium">
        <color indexed="64"/>
      </top>
      <bottom style="thin">
        <color indexed="64"/>
      </bottom>
      <diagonal/>
    </border>
  </borders>
  <cellStyleXfs count="2">
    <xf numFmtId="0" fontId="0" fillId="0" borderId="0"/>
    <xf numFmtId="0" fontId="21" fillId="0" borderId="0" applyNumberFormat="0" applyFill="0" applyBorder="0" applyAlignment="0" applyProtection="0"/>
  </cellStyleXfs>
  <cellXfs count="502">
    <xf numFmtId="0" fontId="0" fillId="0" borderId="0" xfId="0"/>
    <xf numFmtId="0" fontId="0" fillId="0" borderId="0" xfId="0" applyAlignment="1">
      <alignment horizontal="left" vertical="top" wrapText="1"/>
    </xf>
    <xf numFmtId="0" fontId="2" fillId="0" borderId="0" xfId="0" applyFont="1" applyAlignment="1">
      <alignment horizontal="left" vertical="top" wrapText="1"/>
    </xf>
    <xf numFmtId="16" fontId="0" fillId="0" borderId="0" xfId="0" applyNumberFormat="1" applyAlignment="1">
      <alignment horizontal="left" vertical="top" wrapText="1"/>
    </xf>
    <xf numFmtId="16" fontId="2" fillId="0" borderId="0" xfId="0" applyNumberFormat="1" applyFont="1" applyAlignment="1">
      <alignment horizontal="left" vertical="top" wrapText="1"/>
    </xf>
    <xf numFmtId="0" fontId="0" fillId="0" borderId="0" xfId="0" applyAlignment="1">
      <alignment vertical="center"/>
    </xf>
    <xf numFmtId="0" fontId="0" fillId="0" borderId="0" xfId="0" applyAlignment="1">
      <alignment wrapText="1"/>
    </xf>
    <xf numFmtId="164" fontId="1" fillId="0" borderId="0" xfId="0" applyNumberFormat="1" applyFont="1" applyAlignment="1">
      <alignment horizontal="center" vertical="top" wrapText="1"/>
    </xf>
    <xf numFmtId="164" fontId="2" fillId="0" borderId="0" xfId="0" applyNumberFormat="1" applyFont="1" applyAlignment="1">
      <alignment horizontal="center" vertical="top" wrapText="1"/>
    </xf>
    <xf numFmtId="164" fontId="0" fillId="0" borderId="0" xfId="0" applyNumberFormat="1" applyAlignment="1">
      <alignment horizontal="center" vertical="top" wrapText="1"/>
    </xf>
    <xf numFmtId="0" fontId="1" fillId="0" borderId="0" xfId="0" applyFont="1" applyAlignment="1">
      <alignment horizontal="center" vertical="top" wrapText="1"/>
    </xf>
    <xf numFmtId="0" fontId="2" fillId="0" borderId="0" xfId="0" applyFont="1" applyAlignment="1">
      <alignment horizontal="center" vertical="top" wrapText="1"/>
    </xf>
    <xf numFmtId="0" fontId="0" fillId="0" borderId="0" xfId="0" applyAlignment="1">
      <alignment horizontal="center" vertical="top" wrapText="1"/>
    </xf>
    <xf numFmtId="164" fontId="5" fillId="0" borderId="0" xfId="0" applyNumberFormat="1" applyFont="1" applyAlignment="1">
      <alignment horizontal="center" vertical="top" wrapText="1"/>
    </xf>
    <xf numFmtId="0" fontId="6" fillId="2" borderId="0" xfId="0" applyFont="1" applyFill="1" applyAlignment="1">
      <alignment horizontal="center" vertical="top" wrapText="1"/>
    </xf>
    <xf numFmtId="0" fontId="6" fillId="0" borderId="0" xfId="0" applyFont="1" applyAlignment="1">
      <alignment horizontal="left" vertical="top" wrapText="1"/>
    </xf>
    <xf numFmtId="0" fontId="6" fillId="0" borderId="0" xfId="0" applyFont="1" applyAlignment="1">
      <alignment horizontal="center" vertical="top" wrapText="1"/>
    </xf>
    <xf numFmtId="164" fontId="6" fillId="0" borderId="0" xfId="0" applyNumberFormat="1" applyFont="1" applyAlignment="1">
      <alignment horizontal="center" vertical="top" wrapText="1"/>
    </xf>
    <xf numFmtId="0" fontId="7" fillId="0" borderId="0" xfId="0" applyFont="1" applyAlignment="1">
      <alignment horizontal="center" vertical="top" wrapText="1"/>
    </xf>
    <xf numFmtId="164" fontId="9" fillId="0" borderId="0" xfId="0" applyNumberFormat="1" applyFont="1" applyAlignment="1">
      <alignment horizontal="center" vertical="top" wrapText="1"/>
    </xf>
    <xf numFmtId="0" fontId="11" fillId="0" borderId="0" xfId="0" applyFont="1" applyAlignment="1">
      <alignment horizontal="left" vertical="top" wrapText="1"/>
    </xf>
    <xf numFmtId="0" fontId="11" fillId="0" borderId="0" xfId="0" applyFont="1" applyAlignment="1">
      <alignment wrapText="1"/>
    </xf>
    <xf numFmtId="0" fontId="0" fillId="2" borderId="0" xfId="0" applyFill="1" applyAlignment="1">
      <alignment horizontal="center" vertical="top" wrapText="1"/>
    </xf>
    <xf numFmtId="0" fontId="2" fillId="2" borderId="0" xfId="0" applyFont="1" applyFill="1" applyAlignment="1">
      <alignment horizontal="center" vertical="top" wrapText="1"/>
    </xf>
    <xf numFmtId="0" fontId="1" fillId="3" borderId="0" xfId="0" applyFont="1" applyFill="1" applyAlignment="1">
      <alignment horizontal="center" vertical="top" wrapText="1"/>
    </xf>
    <xf numFmtId="164" fontId="12" fillId="3" borderId="0" xfId="0" applyNumberFormat="1" applyFont="1" applyFill="1" applyAlignment="1">
      <alignment horizontal="center" vertical="top" wrapText="1"/>
    </xf>
    <xf numFmtId="164" fontId="1" fillId="3" borderId="0" xfId="0" applyNumberFormat="1" applyFont="1" applyFill="1" applyAlignment="1">
      <alignment horizontal="center" vertical="top" wrapText="1"/>
    </xf>
    <xf numFmtId="0" fontId="14" fillId="3" borderId="0" xfId="0" applyFont="1" applyFill="1" applyAlignment="1">
      <alignment horizontal="center" vertical="top" wrapText="1"/>
    </xf>
    <xf numFmtId="0" fontId="0" fillId="3" borderId="0" xfId="0" applyFill="1" applyAlignment="1">
      <alignment horizontal="center" vertical="top" wrapText="1"/>
    </xf>
    <xf numFmtId="0" fontId="13" fillId="0" borderId="0" xfId="0" applyFont="1" applyAlignment="1">
      <alignment horizontal="left" vertical="top" wrapText="1"/>
    </xf>
    <xf numFmtId="0" fontId="1" fillId="2" borderId="0" xfId="0" applyFont="1" applyFill="1" applyAlignment="1">
      <alignment horizontal="center" vertical="top" wrapText="1"/>
    </xf>
    <xf numFmtId="0" fontId="16" fillId="0" borderId="0" xfId="0" applyFont="1" applyAlignment="1">
      <alignment horizontal="left" vertical="top" wrapText="1"/>
    </xf>
    <xf numFmtId="0" fontId="0" fillId="7" borderId="10" xfId="0" applyFill="1" applyBorder="1"/>
    <xf numFmtId="0" fontId="0" fillId="7" borderId="9" xfId="0" applyFill="1" applyBorder="1"/>
    <xf numFmtId="16" fontId="0" fillId="0" borderId="0" xfId="0" applyNumberFormat="1"/>
    <xf numFmtId="0" fontId="0" fillId="8" borderId="10" xfId="0" applyFill="1" applyBorder="1"/>
    <xf numFmtId="0" fontId="23" fillId="0" borderId="0" xfId="0" applyFont="1" applyAlignment="1">
      <alignment vertical="center"/>
    </xf>
    <xf numFmtId="0" fontId="25" fillId="0" borderId="0" xfId="0" applyFont="1" applyAlignment="1">
      <alignment vertical="center"/>
    </xf>
    <xf numFmtId="0" fontId="26" fillId="0" borderId="0" xfId="0" applyFont="1" applyAlignment="1">
      <alignment horizontal="left" vertical="center" indent="4"/>
    </xf>
    <xf numFmtId="0" fontId="27" fillId="0" borderId="0" xfId="0" applyFont="1" applyAlignment="1">
      <alignment horizontal="left" vertical="center" indent="9"/>
    </xf>
    <xf numFmtId="0" fontId="25" fillId="2" borderId="0" xfId="0" applyFont="1" applyFill="1" applyAlignment="1">
      <alignment vertical="center"/>
    </xf>
    <xf numFmtId="0" fontId="0" fillId="2" borderId="0" xfId="0" applyFill="1"/>
    <xf numFmtId="0" fontId="0" fillId="8" borderId="10" xfId="0" applyFill="1" applyBorder="1" applyAlignment="1">
      <alignment wrapText="1"/>
    </xf>
    <xf numFmtId="0" fontId="0" fillId="2" borderId="0" xfId="0" applyFill="1" applyAlignment="1">
      <alignment horizontal="left" vertical="top" wrapText="1"/>
    </xf>
    <xf numFmtId="0" fontId="6" fillId="2" borderId="0" xfId="0" applyFont="1" applyFill="1" applyAlignment="1">
      <alignment horizontal="left" vertical="top" wrapText="1"/>
    </xf>
    <xf numFmtId="0" fontId="2" fillId="2" borderId="0" xfId="0" applyFont="1" applyFill="1" applyAlignment="1">
      <alignment horizontal="left" vertical="top" wrapText="1"/>
    </xf>
    <xf numFmtId="0" fontId="0" fillId="12" borderId="10" xfId="0" applyFill="1" applyBorder="1" applyAlignment="1">
      <alignment horizontal="left" vertical="top" wrapText="1"/>
    </xf>
    <xf numFmtId="0" fontId="0" fillId="12" borderId="0" xfId="0" applyFill="1" applyAlignment="1">
      <alignment horizontal="center" vertical="top" wrapText="1"/>
    </xf>
    <xf numFmtId="0" fontId="0" fillId="12" borderId="10" xfId="0" applyFill="1" applyBorder="1" applyAlignment="1">
      <alignment horizontal="center" vertical="top" wrapText="1"/>
    </xf>
    <xf numFmtId="0" fontId="0" fillId="5" borderId="5" xfId="0" applyFill="1" applyBorder="1" applyAlignment="1">
      <alignment horizontal="left" vertical="top" wrapText="1"/>
    </xf>
    <xf numFmtId="0" fontId="0" fillId="7" borderId="8" xfId="0" applyFill="1" applyBorder="1" applyAlignment="1">
      <alignment horizontal="left" vertical="top" wrapText="1"/>
    </xf>
    <xf numFmtId="0" fontId="0" fillId="9" borderId="8" xfId="0" applyFill="1" applyBorder="1" applyAlignment="1">
      <alignment horizontal="left" vertical="top" wrapText="1"/>
    </xf>
    <xf numFmtId="0" fontId="0" fillId="5" borderId="18" xfId="0" applyFill="1" applyBorder="1" applyAlignment="1">
      <alignment horizontal="left" vertical="top" wrapText="1"/>
    </xf>
    <xf numFmtId="0" fontId="0" fillId="7" borderId="19" xfId="0" applyFill="1" applyBorder="1" applyAlignment="1">
      <alignment horizontal="left" vertical="top" wrapText="1"/>
    </xf>
    <xf numFmtId="0" fontId="0" fillId="9" borderId="16" xfId="0" applyFill="1" applyBorder="1" applyAlignment="1">
      <alignment horizontal="left" vertical="top" wrapText="1"/>
    </xf>
    <xf numFmtId="22" fontId="0" fillId="12" borderId="10" xfId="0" applyNumberFormat="1" applyFill="1" applyBorder="1" applyAlignment="1">
      <alignment horizontal="center" vertical="top" wrapText="1"/>
    </xf>
    <xf numFmtId="22" fontId="0" fillId="12" borderId="10" xfId="0" quotePrefix="1" applyNumberFormat="1" applyFill="1" applyBorder="1" applyAlignment="1">
      <alignment horizontal="center" vertical="top" wrapText="1"/>
    </xf>
    <xf numFmtId="0" fontId="7" fillId="0" borderId="0" xfId="0" applyFont="1" applyAlignment="1">
      <alignment horizontal="left" vertical="top" wrapText="1"/>
    </xf>
    <xf numFmtId="0" fontId="8" fillId="0" borderId="0" xfId="0" applyFont="1" applyAlignment="1">
      <alignment horizontal="left" vertical="top" wrapText="1"/>
    </xf>
    <xf numFmtId="0" fontId="17" fillId="0" borderId="0" xfId="0" applyFont="1" applyAlignment="1">
      <alignment horizontal="left" vertical="top" wrapText="1"/>
    </xf>
    <xf numFmtId="164" fontId="7" fillId="0" borderId="0" xfId="0" applyNumberFormat="1" applyFont="1" applyAlignment="1">
      <alignment horizontal="center" vertical="top" wrapText="1"/>
    </xf>
    <xf numFmtId="0" fontId="7" fillId="15" borderId="8" xfId="0" applyFont="1" applyFill="1" applyBorder="1"/>
    <xf numFmtId="0" fontId="7" fillId="0" borderId="0" xfId="0" applyFont="1"/>
    <xf numFmtId="16" fontId="7" fillId="0" borderId="0" xfId="0" applyNumberFormat="1" applyFont="1" applyAlignment="1">
      <alignment horizontal="left" vertical="top" wrapText="1"/>
    </xf>
    <xf numFmtId="0" fontId="0" fillId="0" borderId="0" xfId="0" applyAlignment="1">
      <alignment vertical="top" wrapText="1"/>
    </xf>
    <xf numFmtId="0" fontId="0" fillId="3" borderId="0" xfId="0" applyFill="1" applyAlignment="1">
      <alignment horizontal="left" vertical="top" wrapText="1"/>
    </xf>
    <xf numFmtId="0" fontId="0" fillId="0" borderId="1" xfId="0" applyBorder="1"/>
    <xf numFmtId="0" fontId="0" fillId="0" borderId="10" xfId="0" applyBorder="1"/>
    <xf numFmtId="0" fontId="21" fillId="0" borderId="0" xfId="1" applyAlignment="1">
      <alignment vertical="top" wrapText="1"/>
    </xf>
    <xf numFmtId="0" fontId="28" fillId="0" borderId="0" xfId="0" applyFont="1" applyAlignment="1">
      <alignment vertical="top" wrapText="1"/>
    </xf>
    <xf numFmtId="0" fontId="21" fillId="0" borderId="0" xfId="1" applyBorder="1" applyAlignment="1">
      <alignment horizontal="center" vertical="top" wrapText="1"/>
    </xf>
    <xf numFmtId="0" fontId="0" fillId="0" borderId="9" xfId="0" applyBorder="1" applyAlignment="1">
      <alignment horizontal="left" vertical="top" wrapText="1"/>
    </xf>
    <xf numFmtId="0" fontId="0" fillId="0" borderId="51" xfId="0" applyBorder="1" applyAlignment="1">
      <alignment horizontal="left" vertical="top" wrapText="1"/>
    </xf>
    <xf numFmtId="0" fontId="0" fillId="7" borderId="10" xfId="0" applyFill="1" applyBorder="1" applyAlignment="1">
      <alignment horizontal="left" vertical="top" wrapText="1"/>
    </xf>
    <xf numFmtId="0" fontId="19" fillId="10" borderId="10" xfId="0" applyFont="1" applyFill="1" applyBorder="1"/>
    <xf numFmtId="0" fontId="0" fillId="0" borderId="1" xfId="0" applyBorder="1" applyAlignment="1">
      <alignment wrapText="1"/>
    </xf>
    <xf numFmtId="0" fontId="17" fillId="0" borderId="0" xfId="0" applyFont="1" applyAlignment="1">
      <alignment wrapText="1"/>
    </xf>
    <xf numFmtId="0" fontId="17" fillId="0" borderId="1" xfId="0" applyFont="1" applyBorder="1" applyAlignment="1">
      <alignment wrapText="1"/>
    </xf>
    <xf numFmtId="0" fontId="0" fillId="0" borderId="2" xfId="0" applyBorder="1"/>
    <xf numFmtId="0" fontId="12" fillId="0" borderId="55" xfId="0" applyFont="1" applyBorder="1"/>
    <xf numFmtId="0" fontId="12" fillId="0" borderId="0" xfId="0" applyFont="1"/>
    <xf numFmtId="0" fontId="12" fillId="0" borderId="56" xfId="0" applyFont="1" applyBorder="1" applyAlignment="1">
      <alignment wrapText="1"/>
    </xf>
    <xf numFmtId="0" fontId="0" fillId="0" borderId="54" xfId="0" applyBorder="1"/>
    <xf numFmtId="0" fontId="0" fillId="0" borderId="54" xfId="0" applyBorder="1" applyAlignment="1">
      <alignment wrapText="1"/>
    </xf>
    <xf numFmtId="16" fontId="18" fillId="0" borderId="26" xfId="0" applyNumberFormat="1" applyFont="1" applyBorder="1"/>
    <xf numFmtId="16" fontId="18" fillId="0" borderId="0" xfId="0" applyNumberFormat="1" applyFont="1"/>
    <xf numFmtId="16" fontId="18" fillId="0" borderId="24" xfId="0" applyNumberFormat="1" applyFont="1" applyBorder="1"/>
    <xf numFmtId="16" fontId="18" fillId="0" borderId="47" xfId="0" applyNumberFormat="1" applyFont="1" applyBorder="1"/>
    <xf numFmtId="16" fontId="18" fillId="0" borderId="48" xfId="0" applyNumberFormat="1" applyFont="1" applyBorder="1"/>
    <xf numFmtId="0" fontId="0" fillId="0" borderId="17" xfId="0" applyBorder="1"/>
    <xf numFmtId="1" fontId="0" fillId="0" borderId="33" xfId="0" applyNumberFormat="1" applyBorder="1" applyAlignment="1">
      <alignment horizontal="left"/>
    </xf>
    <xf numFmtId="0" fontId="0" fillId="0" borderId="33" xfId="0" applyBorder="1"/>
    <xf numFmtId="16" fontId="18" fillId="0" borderId="57" xfId="0" applyNumberFormat="1" applyFont="1" applyBorder="1"/>
    <xf numFmtId="49" fontId="0" fillId="0" borderId="10" xfId="0" quotePrefix="1" applyNumberFormat="1" applyBorder="1"/>
    <xf numFmtId="0" fontId="0" fillId="0" borderId="10" xfId="0" quotePrefix="1" applyBorder="1"/>
    <xf numFmtId="16" fontId="18" fillId="0" borderId="10" xfId="0" applyNumberFormat="1" applyFont="1" applyBorder="1"/>
    <xf numFmtId="0" fontId="0" fillId="0" borderId="50" xfId="0" applyBorder="1"/>
    <xf numFmtId="0" fontId="30" fillId="0" borderId="0" xfId="0" applyFont="1"/>
    <xf numFmtId="0" fontId="30" fillId="0" borderId="10" xfId="0" applyFont="1" applyBorder="1"/>
    <xf numFmtId="164" fontId="0" fillId="0" borderId="0" xfId="0" applyNumberFormat="1" applyAlignment="1">
      <alignment horizontal="left" vertical="top" wrapText="1"/>
    </xf>
    <xf numFmtId="0" fontId="18" fillId="0" borderId="0" xfId="0" applyFont="1"/>
    <xf numFmtId="0" fontId="19" fillId="5" borderId="10" xfId="0" applyFont="1" applyFill="1" applyBorder="1" applyAlignment="1">
      <alignment wrapText="1"/>
    </xf>
    <xf numFmtId="0" fontId="19" fillId="5" borderId="10" xfId="0" applyFont="1" applyFill="1" applyBorder="1"/>
    <xf numFmtId="0" fontId="0" fillId="0" borderId="0" xfId="0" applyAlignment="1">
      <alignment horizontal="center"/>
    </xf>
    <xf numFmtId="0" fontId="33" fillId="19" borderId="64" xfId="0" applyFont="1" applyFill="1" applyBorder="1" applyAlignment="1">
      <alignment horizontal="left" vertical="center" wrapText="1"/>
    </xf>
    <xf numFmtId="0" fontId="33" fillId="19" borderId="65" xfId="0" applyFont="1" applyFill="1" applyBorder="1" applyAlignment="1">
      <alignment horizontal="center" vertical="center" wrapText="1"/>
    </xf>
    <xf numFmtId="16" fontId="33" fillId="19" borderId="65" xfId="0" applyNumberFormat="1" applyFont="1" applyFill="1" applyBorder="1" applyAlignment="1">
      <alignment horizontal="center" vertical="center" wrapText="1"/>
    </xf>
    <xf numFmtId="0" fontId="33" fillId="19" borderId="68" xfId="0" applyFont="1" applyFill="1" applyBorder="1" applyAlignment="1">
      <alignment horizontal="center" vertical="center" wrapText="1"/>
    </xf>
    <xf numFmtId="0" fontId="33" fillId="19" borderId="69" xfId="0" applyFont="1" applyFill="1" applyBorder="1" applyAlignment="1">
      <alignment horizontal="left" vertical="center" wrapText="1"/>
    </xf>
    <xf numFmtId="0" fontId="33" fillId="19" borderId="66" xfId="0" applyFont="1" applyFill="1" applyBorder="1" applyAlignment="1">
      <alignment horizontal="center" vertical="center" wrapText="1"/>
    </xf>
    <xf numFmtId="16" fontId="33" fillId="19" borderId="66" xfId="0" applyNumberFormat="1" applyFont="1" applyFill="1" applyBorder="1" applyAlignment="1">
      <alignment horizontal="center" vertical="center" wrapText="1"/>
    </xf>
    <xf numFmtId="0" fontId="33" fillId="19" borderId="71" xfId="0" applyFont="1" applyFill="1" applyBorder="1" applyAlignment="1">
      <alignment horizontal="center" vertical="center" wrapText="1"/>
    </xf>
    <xf numFmtId="16" fontId="33" fillId="19" borderId="71" xfId="0" applyNumberFormat="1" applyFont="1" applyFill="1" applyBorder="1" applyAlignment="1">
      <alignment horizontal="center" vertical="center" wrapText="1"/>
    </xf>
    <xf numFmtId="0" fontId="25" fillId="0" borderId="0" xfId="0" applyFont="1" applyAlignment="1">
      <alignment vertical="center" wrapText="1"/>
    </xf>
    <xf numFmtId="0" fontId="0" fillId="0" borderId="0" xfId="0" applyAlignment="1">
      <alignment vertical="center" wrapText="1"/>
    </xf>
    <xf numFmtId="0" fontId="0" fillId="0" borderId="0" xfId="0" applyAlignment="1">
      <alignment horizontal="left" vertical="center" wrapText="1"/>
    </xf>
    <xf numFmtId="0" fontId="37" fillId="0" borderId="28" xfId="0" applyFont="1" applyBorder="1" applyAlignment="1">
      <alignment horizontal="center" vertical="center" wrapText="1"/>
    </xf>
    <xf numFmtId="0" fontId="37" fillId="0" borderId="27" xfId="0" applyFont="1" applyBorder="1" applyAlignment="1">
      <alignment horizontal="center" vertical="center" wrapText="1"/>
    </xf>
    <xf numFmtId="0" fontId="7" fillId="20" borderId="28" xfId="0" applyFont="1" applyFill="1" applyBorder="1" applyAlignment="1">
      <alignment vertical="center" wrapText="1"/>
    </xf>
    <xf numFmtId="0" fontId="7" fillId="20" borderId="26" xfId="0" applyFont="1" applyFill="1" applyBorder="1" applyAlignment="1">
      <alignment vertical="center" wrapText="1"/>
    </xf>
    <xf numFmtId="0" fontId="21" fillId="0" borderId="0" xfId="1"/>
    <xf numFmtId="0" fontId="18" fillId="0" borderId="10" xfId="0" applyFont="1" applyBorder="1"/>
    <xf numFmtId="0" fontId="18" fillId="0" borderId="49" xfId="0" applyFont="1" applyBorder="1"/>
    <xf numFmtId="0" fontId="18" fillId="0" borderId="17" xfId="0" applyFont="1" applyBorder="1"/>
    <xf numFmtId="0" fontId="40" fillId="21" borderId="14" xfId="0" applyFont="1" applyFill="1" applyBorder="1" applyAlignment="1">
      <alignment horizontal="center" vertical="center" wrapText="1" readingOrder="1"/>
    </xf>
    <xf numFmtId="0" fontId="40" fillId="21" borderId="15" xfId="0" applyFont="1" applyFill="1" applyBorder="1" applyAlignment="1">
      <alignment horizontal="center" vertical="center" wrapText="1" readingOrder="1"/>
    </xf>
    <xf numFmtId="0" fontId="40" fillId="21" borderId="11" xfId="0" applyFont="1" applyFill="1" applyBorder="1" applyAlignment="1">
      <alignment horizontal="left" vertical="center" wrapText="1" readingOrder="1"/>
    </xf>
    <xf numFmtId="0" fontId="41" fillId="9" borderId="10" xfId="0" applyFont="1" applyFill="1" applyBorder="1" applyAlignment="1">
      <alignment vertical="center" wrapText="1"/>
    </xf>
    <xf numFmtId="0" fontId="41" fillId="22" borderId="10" xfId="0" applyFont="1" applyFill="1" applyBorder="1" applyAlignment="1">
      <alignment vertical="center" wrapText="1"/>
    </xf>
    <xf numFmtId="0" fontId="40" fillId="21" borderId="11" xfId="0" applyFont="1" applyFill="1" applyBorder="1" applyAlignment="1">
      <alignment horizontal="center" vertical="center" wrapText="1" readingOrder="1"/>
    </xf>
    <xf numFmtId="0" fontId="41" fillId="9" borderId="52" xfId="0" applyFont="1" applyFill="1" applyBorder="1" applyAlignment="1">
      <alignment vertical="center" wrapText="1"/>
    </xf>
    <xf numFmtId="0" fontId="41" fillId="22" borderId="52" xfId="0" applyFont="1" applyFill="1" applyBorder="1" applyAlignment="1">
      <alignment vertical="center" wrapText="1"/>
    </xf>
    <xf numFmtId="0" fontId="7" fillId="20" borderId="0" xfId="0" applyFont="1" applyFill="1" applyAlignment="1">
      <alignment vertical="center" wrapText="1"/>
    </xf>
    <xf numFmtId="0" fontId="7" fillId="20" borderId="26" xfId="0" applyFont="1" applyFill="1" applyBorder="1" applyAlignment="1">
      <alignment horizontal="center" vertical="center" wrapText="1"/>
    </xf>
    <xf numFmtId="0" fontId="7" fillId="20" borderId="27" xfId="0" applyFont="1" applyFill="1" applyBorder="1" applyAlignment="1">
      <alignment horizontal="left" vertical="center" wrapText="1"/>
    </xf>
    <xf numFmtId="0" fontId="7" fillId="20" borderId="0" xfId="0" applyFont="1" applyFill="1" applyAlignment="1">
      <alignment horizontal="left" vertical="center" wrapText="1"/>
    </xf>
    <xf numFmtId="0" fontId="7" fillId="20" borderId="28" xfId="0" applyFont="1" applyFill="1" applyBorder="1" applyAlignment="1">
      <alignment horizontal="center" vertical="center" wrapText="1"/>
    </xf>
    <xf numFmtId="0" fontId="7" fillId="22" borderId="28" xfId="0" applyFont="1" applyFill="1" applyBorder="1" applyAlignment="1">
      <alignment horizontal="center" vertical="center" wrapText="1"/>
    </xf>
    <xf numFmtId="0" fontId="0" fillId="12" borderId="10" xfId="0" applyFill="1" applyBorder="1" applyAlignment="1">
      <alignment horizontal="left" vertical="center" wrapText="1"/>
    </xf>
    <xf numFmtId="22" fontId="0" fillId="12" borderId="10" xfId="0" applyNumberFormat="1" applyFill="1" applyBorder="1" applyAlignment="1">
      <alignment horizontal="center" vertical="center" wrapText="1"/>
    </xf>
    <xf numFmtId="0" fontId="0" fillId="12" borderId="10" xfId="0" applyFill="1" applyBorder="1" applyAlignment="1">
      <alignment horizontal="center" vertical="center" wrapText="1"/>
    </xf>
    <xf numFmtId="0" fontId="1" fillId="3" borderId="1" xfId="0" applyFont="1" applyFill="1" applyBorder="1" applyAlignment="1">
      <alignment horizontal="center" vertical="top" wrapText="1"/>
    </xf>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wrapText="1"/>
    </xf>
    <xf numFmtId="0" fontId="21" fillId="0" borderId="1" xfId="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vertical="center" wrapText="1"/>
    </xf>
    <xf numFmtId="0" fontId="2" fillId="0" borderId="1" xfId="0" applyFont="1" applyBorder="1" applyAlignment="1">
      <alignment vertical="center" wrapText="1"/>
    </xf>
    <xf numFmtId="16" fontId="0" fillId="12" borderId="10" xfId="0" applyNumberFormat="1" applyFill="1" applyBorder="1" applyAlignment="1">
      <alignment horizontal="center" vertical="top" wrapText="1"/>
    </xf>
    <xf numFmtId="0" fontId="21" fillId="0" borderId="0" xfId="1" applyAlignment="1">
      <alignment horizontal="center"/>
    </xf>
    <xf numFmtId="0" fontId="7" fillId="2" borderId="26" xfId="0" applyFont="1" applyFill="1" applyBorder="1" applyAlignment="1">
      <alignment horizontal="center" vertical="center" wrapText="1"/>
    </xf>
    <xf numFmtId="0" fontId="14" fillId="20" borderId="72" xfId="0" applyFont="1" applyFill="1" applyBorder="1" applyAlignment="1">
      <alignment horizontal="center" vertical="center" wrapText="1"/>
    </xf>
    <xf numFmtId="0" fontId="14" fillId="20" borderId="25" xfId="0" applyFont="1" applyFill="1" applyBorder="1" applyAlignment="1">
      <alignment horizontal="center" vertical="center" wrapText="1"/>
    </xf>
    <xf numFmtId="0" fontId="7" fillId="23" borderId="25" xfId="0" applyFont="1" applyFill="1" applyBorder="1" applyAlignment="1">
      <alignment horizontal="left" vertical="center" wrapText="1"/>
    </xf>
    <xf numFmtId="0" fontId="21" fillId="0" borderId="0" xfId="1" applyAlignment="1">
      <alignment horizontal="center" vertical="center" wrapText="1"/>
    </xf>
    <xf numFmtId="0" fontId="0" fillId="0" borderId="54" xfId="0" applyBorder="1" applyAlignment="1">
      <alignment horizontal="center" vertical="center" wrapText="1"/>
    </xf>
    <xf numFmtId="0" fontId="0" fillId="0" borderId="54" xfId="0" applyBorder="1" applyAlignment="1">
      <alignment horizontal="left" vertical="center" wrapText="1"/>
    </xf>
    <xf numFmtId="0" fontId="0" fillId="0" borderId="54" xfId="0" applyBorder="1" applyAlignment="1">
      <alignment vertical="center" wrapText="1"/>
    </xf>
    <xf numFmtId="0" fontId="0" fillId="0" borderId="54" xfId="0" applyBorder="1" applyAlignment="1">
      <alignment horizontal="left" vertical="top" wrapText="1"/>
    </xf>
    <xf numFmtId="0" fontId="21" fillId="0" borderId="54" xfId="1" applyBorder="1" applyAlignment="1">
      <alignment horizontal="center" vertical="center" wrapText="1"/>
    </xf>
    <xf numFmtId="0" fontId="0" fillId="20" borderId="54" xfId="0" applyFill="1" applyBorder="1" applyAlignment="1">
      <alignment horizontal="center" vertical="center" wrapText="1"/>
    </xf>
    <xf numFmtId="0" fontId="21" fillId="20" borderId="54" xfId="1" applyFill="1" applyBorder="1" applyAlignment="1">
      <alignment horizontal="center" vertical="center" wrapText="1"/>
    </xf>
    <xf numFmtId="0" fontId="0" fillId="0" borderId="10" xfId="0" applyBorder="1" applyAlignment="1">
      <alignment horizontal="left" vertical="center" wrapText="1"/>
    </xf>
    <xf numFmtId="49" fontId="0" fillId="0" borderId="10" xfId="0" applyNumberFormat="1" applyBorder="1" applyAlignment="1">
      <alignment horizontal="center" vertical="center" wrapText="1"/>
    </xf>
    <xf numFmtId="0" fontId="0" fillId="0" borderId="10" xfId="0" applyBorder="1" applyAlignment="1">
      <alignment horizontal="center" vertical="center"/>
    </xf>
    <xf numFmtId="0" fontId="17" fillId="0" borderId="10" xfId="0" applyFont="1" applyBorder="1" applyAlignment="1">
      <alignment horizontal="center" vertical="center"/>
    </xf>
    <xf numFmtId="49" fontId="0" fillId="0" borderId="10" xfId="0" applyNumberFormat="1" applyBorder="1" applyAlignment="1">
      <alignment horizontal="left" vertical="center" wrapText="1"/>
    </xf>
    <xf numFmtId="22" fontId="0" fillId="0" borderId="10" xfId="0" applyNumberFormat="1" applyBorder="1" applyAlignment="1">
      <alignment horizontal="center" vertical="center"/>
    </xf>
    <xf numFmtId="0" fontId="17" fillId="0" borderId="21" xfId="0" applyFont="1" applyBorder="1" applyAlignment="1">
      <alignment horizontal="center" vertical="center"/>
    </xf>
    <xf numFmtId="49" fontId="0" fillId="0" borderId="21" xfId="0" applyNumberFormat="1" applyBorder="1" applyAlignment="1">
      <alignment horizontal="left" vertical="center" wrapText="1"/>
    </xf>
    <xf numFmtId="0" fontId="13" fillId="0" borderId="50" xfId="0" applyFont="1" applyBorder="1" applyAlignment="1">
      <alignment horizontal="center" vertical="center" wrapText="1"/>
    </xf>
    <xf numFmtId="49" fontId="0" fillId="0" borderId="49" xfId="0" applyNumberFormat="1" applyBorder="1" applyAlignment="1">
      <alignment horizontal="center" vertical="center" wrapText="1"/>
    </xf>
    <xf numFmtId="0" fontId="0" fillId="0" borderId="21" xfId="0" applyBorder="1" applyAlignment="1">
      <alignment horizontal="center" vertical="center"/>
    </xf>
    <xf numFmtId="49" fontId="0" fillId="0" borderId="21" xfId="0" applyNumberFormat="1" applyBorder="1" applyAlignment="1">
      <alignment horizontal="center" vertical="center" wrapText="1"/>
    </xf>
    <xf numFmtId="22" fontId="0" fillId="0" borderId="21" xfId="0" applyNumberFormat="1" applyBorder="1" applyAlignment="1">
      <alignment horizontal="center" vertical="center"/>
    </xf>
    <xf numFmtId="0" fontId="31" fillId="0" borderId="0" xfId="0" applyFont="1" applyAlignment="1">
      <alignment horizontal="left" vertical="center" indent="4"/>
    </xf>
    <xf numFmtId="0" fontId="40" fillId="21" borderId="12" xfId="0" applyFont="1" applyFill="1" applyBorder="1" applyAlignment="1">
      <alignment horizontal="left" vertical="center" wrapText="1" readingOrder="1"/>
    </xf>
    <xf numFmtId="0" fontId="40" fillId="21" borderId="9" xfId="0" applyFont="1" applyFill="1" applyBorder="1" applyAlignment="1">
      <alignment horizontal="left" vertical="center" wrapText="1" readingOrder="1"/>
    </xf>
    <xf numFmtId="0" fontId="40" fillId="21" borderId="51" xfId="0" applyFont="1" applyFill="1" applyBorder="1" applyAlignment="1">
      <alignment horizontal="left" vertical="center" wrapText="1" readingOrder="1"/>
    </xf>
    <xf numFmtId="16" fontId="33" fillId="19" borderId="66" xfId="0" applyNumberFormat="1" applyFont="1" applyFill="1" applyBorder="1" applyAlignment="1">
      <alignment horizontal="left" vertical="center" wrapText="1"/>
    </xf>
    <xf numFmtId="0" fontId="33" fillId="19" borderId="67" xfId="0" applyFont="1" applyFill="1" applyBorder="1" applyAlignment="1">
      <alignment horizontal="left" vertical="center" wrapText="1"/>
    </xf>
    <xf numFmtId="0" fontId="33" fillId="19" borderId="70" xfId="0" applyFont="1" applyFill="1" applyBorder="1" applyAlignment="1">
      <alignment horizontal="left" vertical="center" wrapText="1"/>
    </xf>
    <xf numFmtId="49" fontId="0" fillId="0" borderId="47" xfId="0" applyNumberFormat="1" applyBorder="1" applyAlignment="1">
      <alignment horizontal="center" vertical="center" wrapText="1"/>
    </xf>
    <xf numFmtId="49" fontId="0" fillId="0" borderId="29" xfId="0" applyNumberFormat="1" applyBorder="1" applyAlignment="1">
      <alignment horizontal="center" vertical="center" wrapText="1"/>
    </xf>
    <xf numFmtId="49" fontId="0" fillId="0" borderId="17" xfId="0" applyNumberFormat="1" applyBorder="1" applyAlignment="1">
      <alignment horizontal="center" vertical="center" wrapText="1"/>
    </xf>
    <xf numFmtId="0" fontId="13" fillId="0" borderId="10" xfId="0" applyFont="1" applyBorder="1" applyAlignment="1">
      <alignment horizontal="left" vertical="center" wrapText="1"/>
    </xf>
    <xf numFmtId="0" fontId="13" fillId="0" borderId="33" xfId="0" applyFont="1" applyBorder="1" applyAlignment="1">
      <alignment horizontal="center" vertical="center"/>
    </xf>
    <xf numFmtId="14" fontId="0" fillId="0" borderId="33" xfId="0" applyNumberFormat="1" applyBorder="1" applyAlignment="1">
      <alignment horizontal="center" vertical="center"/>
    </xf>
    <xf numFmtId="0" fontId="13" fillId="0" borderId="33" xfId="0" applyFont="1" applyBorder="1" applyAlignment="1">
      <alignment horizontal="center" vertical="center" wrapText="1"/>
    </xf>
    <xf numFmtId="14" fontId="0" fillId="0" borderId="33" xfId="0" applyNumberFormat="1" applyBorder="1" applyAlignment="1">
      <alignment horizontal="center" vertical="center" wrapText="1"/>
    </xf>
    <xf numFmtId="14" fontId="13" fillId="0" borderId="33" xfId="0" applyNumberFormat="1" applyFont="1" applyBorder="1" applyAlignment="1">
      <alignment horizontal="center" vertical="center" wrapText="1"/>
    </xf>
    <xf numFmtId="14" fontId="13" fillId="0" borderId="33" xfId="0" applyNumberFormat="1" applyFont="1" applyBorder="1" applyAlignment="1">
      <alignment horizontal="center" vertical="center"/>
    </xf>
    <xf numFmtId="0" fontId="0" fillId="0" borderId="29" xfId="0" applyBorder="1" applyAlignment="1">
      <alignment horizontal="center" vertical="center" wrapText="1"/>
    </xf>
    <xf numFmtId="0" fontId="0" fillId="0" borderId="48" xfId="0" applyBorder="1" applyAlignment="1">
      <alignment horizontal="center" vertical="center" wrapText="1"/>
    </xf>
    <xf numFmtId="0" fontId="0" fillId="0" borderId="33" xfId="0" applyBorder="1" applyAlignment="1">
      <alignment horizontal="center" vertical="center"/>
    </xf>
    <xf numFmtId="0" fontId="13" fillId="0" borderId="21" xfId="0" applyFont="1" applyBorder="1" applyAlignment="1">
      <alignment horizontal="left" vertical="center" wrapText="1"/>
    </xf>
    <xf numFmtId="0" fontId="0" fillId="0" borderId="10" xfId="0" applyBorder="1" applyAlignment="1">
      <alignment horizontal="center" vertical="center" wrapText="1"/>
    </xf>
    <xf numFmtId="0" fontId="0" fillId="0" borderId="10" xfId="0" applyBorder="1" applyAlignment="1">
      <alignment horizontal="center" vertical="top" wrapText="1"/>
    </xf>
    <xf numFmtId="16" fontId="33" fillId="19" borderId="71" xfId="0" applyNumberFormat="1" applyFont="1" applyFill="1" applyBorder="1" applyAlignment="1">
      <alignment horizontal="left" vertical="center" wrapText="1"/>
    </xf>
    <xf numFmtId="49" fontId="42" fillId="0" borderId="0" xfId="0" applyNumberFormat="1" applyFont="1"/>
    <xf numFmtId="0" fontId="18" fillId="0" borderId="0" xfId="0" applyFont="1" applyAlignment="1">
      <alignment horizontal="center"/>
    </xf>
    <xf numFmtId="0" fontId="43" fillId="24" borderId="10" xfId="0" applyFont="1" applyFill="1" applyBorder="1"/>
    <xf numFmtId="0" fontId="44" fillId="25" borderId="10" xfId="0" applyFont="1" applyFill="1" applyBorder="1"/>
    <xf numFmtId="0" fontId="42" fillId="0" borderId="10" xfId="0" applyFont="1" applyBorder="1"/>
    <xf numFmtId="0" fontId="45" fillId="25" borderId="10" xfId="0" applyFont="1" applyFill="1" applyBorder="1"/>
    <xf numFmtId="0" fontId="46" fillId="25" borderId="10" xfId="0" applyFont="1" applyFill="1" applyBorder="1"/>
    <xf numFmtId="0" fontId="21" fillId="25" borderId="10" xfId="1" applyFill="1" applyBorder="1"/>
    <xf numFmtId="0" fontId="45" fillId="25" borderId="10" xfId="0" applyFont="1" applyFill="1" applyBorder="1" applyAlignment="1">
      <alignment wrapText="1"/>
    </xf>
    <xf numFmtId="0" fontId="21" fillId="25" borderId="10" xfId="1" applyFill="1" applyBorder="1" applyAlignment="1">
      <alignment wrapText="1"/>
    </xf>
    <xf numFmtId="0" fontId="42" fillId="0" borderId="21" xfId="0" applyFont="1" applyBorder="1" applyAlignment="1">
      <alignment horizontal="left" vertical="center"/>
    </xf>
    <xf numFmtId="0" fontId="31" fillId="2" borderId="0" xfId="0" applyFont="1" applyFill="1" applyAlignment="1">
      <alignment horizontal="left" vertical="center" indent="4"/>
    </xf>
    <xf numFmtId="0" fontId="24" fillId="0" borderId="0" xfId="0" applyFont="1"/>
    <xf numFmtId="0" fontId="1" fillId="3" borderId="1" xfId="0" applyFont="1" applyFill="1" applyBorder="1" applyAlignment="1">
      <alignment horizontal="left" vertical="top" wrapText="1" indent="1"/>
    </xf>
    <xf numFmtId="164" fontId="12" fillId="3" borderId="1" xfId="0" applyNumberFormat="1" applyFont="1" applyFill="1" applyBorder="1" applyAlignment="1">
      <alignment horizontal="left" vertical="top" wrapText="1" indent="1"/>
    </xf>
    <xf numFmtId="164" fontId="1" fillId="3" borderId="1" xfId="0" applyNumberFormat="1" applyFont="1" applyFill="1" applyBorder="1" applyAlignment="1">
      <alignment horizontal="left" vertical="top" wrapText="1" indent="1"/>
    </xf>
    <xf numFmtId="0" fontId="0" fillId="0" borderId="0" xfId="0" applyAlignment="1">
      <alignment horizontal="left" vertical="top" wrapText="1" indent="1"/>
    </xf>
    <xf numFmtId="164" fontId="6" fillId="0" borderId="0" xfId="0" applyNumberFormat="1" applyFont="1" applyAlignment="1">
      <alignment horizontal="left" vertical="top" wrapText="1" indent="1"/>
    </xf>
    <xf numFmtId="164" fontId="0" fillId="0" borderId="0" xfId="0" applyNumberFormat="1" applyAlignment="1">
      <alignment horizontal="left" vertical="top" wrapText="1" indent="1"/>
    </xf>
    <xf numFmtId="0" fontId="1" fillId="3" borderId="54" xfId="0" applyFont="1" applyFill="1" applyBorder="1" applyAlignment="1">
      <alignment horizontal="left" vertical="top" wrapText="1" indent="1"/>
    </xf>
    <xf numFmtId="0" fontId="20" fillId="12" borderId="0" xfId="0" applyFont="1" applyFill="1" applyAlignment="1">
      <alignment horizontal="left" wrapText="1"/>
    </xf>
    <xf numFmtId="0" fontId="6" fillId="3" borderId="0" xfId="0" applyFont="1" applyFill="1"/>
    <xf numFmtId="0" fontId="6" fillId="3" borderId="10" xfId="0" applyFont="1" applyFill="1" applyBorder="1"/>
    <xf numFmtId="0" fontId="13" fillId="26" borderId="9" xfId="0" applyFont="1" applyFill="1" applyBorder="1"/>
    <xf numFmtId="0" fontId="6" fillId="3" borderId="31" xfId="0" applyFont="1" applyFill="1" applyBorder="1"/>
    <xf numFmtId="0" fontId="6" fillId="3" borderId="32" xfId="0" applyFont="1" applyFill="1" applyBorder="1"/>
    <xf numFmtId="0" fontId="6" fillId="3" borderId="0" xfId="0" applyFont="1" applyFill="1" applyAlignment="1">
      <alignment horizontal="left" vertical="top" wrapText="1"/>
    </xf>
    <xf numFmtId="0" fontId="6" fillId="3" borderId="36" xfId="0" applyFont="1" applyFill="1" applyBorder="1"/>
    <xf numFmtId="0" fontId="6" fillId="12" borderId="0" xfId="0" applyFont="1" applyFill="1"/>
    <xf numFmtId="0" fontId="6" fillId="12" borderId="5" xfId="0" applyFont="1" applyFill="1" applyBorder="1" applyAlignment="1">
      <alignment horizontal="left" vertical="top" wrapText="1"/>
    </xf>
    <xf numFmtId="16" fontId="6" fillId="12" borderId="6" xfId="0" applyNumberFormat="1" applyFont="1" applyFill="1" applyBorder="1"/>
    <xf numFmtId="0" fontId="6" fillId="12" borderId="8" xfId="0" applyFont="1" applyFill="1" applyBorder="1" applyAlignment="1">
      <alignment horizontal="left" vertical="top" wrapText="1"/>
    </xf>
    <xf numFmtId="0" fontId="6" fillId="12" borderId="30" xfId="0" applyFont="1" applyFill="1" applyBorder="1"/>
    <xf numFmtId="0" fontId="6" fillId="12" borderId="0" xfId="0" applyFont="1" applyFill="1" applyAlignment="1">
      <alignment horizontal="left" vertical="top" wrapText="1"/>
    </xf>
    <xf numFmtId="16" fontId="6" fillId="12" borderId="13" xfId="0" applyNumberFormat="1" applyFont="1" applyFill="1" applyBorder="1"/>
    <xf numFmtId="0" fontId="6" fillId="12" borderId="19" xfId="0" applyFont="1" applyFill="1" applyBorder="1" applyAlignment="1">
      <alignment horizontal="left" vertical="top" wrapText="1"/>
    </xf>
    <xf numFmtId="0" fontId="6" fillId="12" borderId="35" xfId="0" applyFont="1" applyFill="1" applyBorder="1"/>
    <xf numFmtId="0" fontId="6" fillId="12" borderId="36" xfId="0" applyFont="1" applyFill="1" applyBorder="1"/>
    <xf numFmtId="0" fontId="6" fillId="12" borderId="37" xfId="0" applyFont="1" applyFill="1" applyBorder="1"/>
    <xf numFmtId="0" fontId="6" fillId="12" borderId="38" xfId="0" applyFont="1" applyFill="1" applyBorder="1"/>
    <xf numFmtId="0" fontId="6" fillId="12" borderId="10" xfId="0" applyFont="1" applyFill="1" applyBorder="1"/>
    <xf numFmtId="0" fontId="6" fillId="12" borderId="17" xfId="0" applyFont="1" applyFill="1" applyBorder="1"/>
    <xf numFmtId="0" fontId="6" fillId="12" borderId="20" xfId="0" applyFont="1" applyFill="1" applyBorder="1" applyAlignment="1">
      <alignment horizontal="left" vertical="top" wrapText="1"/>
    </xf>
    <xf numFmtId="0" fontId="6" fillId="12" borderId="40" xfId="0" applyFont="1" applyFill="1" applyBorder="1"/>
    <xf numFmtId="0" fontId="6" fillId="12" borderId="21" xfId="0" applyFont="1" applyFill="1" applyBorder="1"/>
    <xf numFmtId="0" fontId="6" fillId="12" borderId="7" xfId="0" applyFont="1" applyFill="1" applyBorder="1"/>
    <xf numFmtId="0" fontId="6" fillId="12" borderId="41" xfId="0" applyFont="1" applyFill="1" applyBorder="1"/>
    <xf numFmtId="0" fontId="6" fillId="12" borderId="42" xfId="0" applyFont="1" applyFill="1" applyBorder="1"/>
    <xf numFmtId="0" fontId="6" fillId="12" borderId="14" xfId="0" applyFont="1" applyFill="1" applyBorder="1"/>
    <xf numFmtId="0" fontId="6" fillId="12" borderId="43" xfId="0" applyFont="1" applyFill="1" applyBorder="1"/>
    <xf numFmtId="0" fontId="6" fillId="12" borderId="44" xfId="0" applyFont="1" applyFill="1" applyBorder="1"/>
    <xf numFmtId="0" fontId="6" fillId="12" borderId="45" xfId="0" applyFont="1" applyFill="1" applyBorder="1"/>
    <xf numFmtId="0" fontId="6" fillId="12" borderId="46" xfId="0" applyFont="1" applyFill="1" applyBorder="1"/>
    <xf numFmtId="0" fontId="6" fillId="12" borderId="10" xfId="0" applyFont="1" applyFill="1" applyBorder="1" applyAlignment="1">
      <alignment horizontal="left" vertical="top" wrapText="1"/>
    </xf>
    <xf numFmtId="49" fontId="0" fillId="0" borderId="10" xfId="0" applyNumberFormat="1" applyBorder="1"/>
    <xf numFmtId="0" fontId="6" fillId="0" borderId="0" xfId="0" applyFont="1"/>
    <xf numFmtId="0" fontId="6" fillId="12" borderId="76" xfId="0" applyFont="1" applyFill="1" applyBorder="1"/>
    <xf numFmtId="49" fontId="0" fillId="0" borderId="33" xfId="0" applyNumberFormat="1" applyBorder="1"/>
    <xf numFmtId="0" fontId="6" fillId="12" borderId="77" xfId="0" applyFont="1" applyFill="1" applyBorder="1"/>
    <xf numFmtId="16" fontId="6" fillId="12" borderId="10" xfId="0" applyNumberFormat="1" applyFont="1" applyFill="1" applyBorder="1"/>
    <xf numFmtId="0" fontId="6" fillId="3" borderId="54" xfId="0" applyFont="1" applyFill="1" applyBorder="1"/>
    <xf numFmtId="0" fontId="6" fillId="12" borderId="78" xfId="0" applyFont="1" applyFill="1" applyBorder="1"/>
    <xf numFmtId="0" fontId="32" fillId="18" borderId="63" xfId="0" applyFont="1" applyFill="1" applyBorder="1" applyAlignment="1">
      <alignment horizontal="center" vertical="center" wrapText="1"/>
    </xf>
    <xf numFmtId="0" fontId="32" fillId="18" borderId="62" xfId="0" applyFont="1" applyFill="1" applyBorder="1" applyAlignment="1">
      <alignment horizontal="center" vertical="center" wrapText="1"/>
    </xf>
    <xf numFmtId="0" fontId="0" fillId="0" borderId="49" xfId="0" applyBorder="1"/>
    <xf numFmtId="0" fontId="0" fillId="9" borderId="61" xfId="0" applyFill="1" applyBorder="1" applyAlignment="1">
      <alignment horizontal="left" vertical="top" wrapText="1"/>
    </xf>
    <xf numFmtId="0" fontId="0" fillId="7" borderId="33" xfId="0" applyFill="1" applyBorder="1" applyAlignment="1">
      <alignment horizontal="left" vertical="top" wrapText="1"/>
    </xf>
    <xf numFmtId="164" fontId="1" fillId="3" borderId="54" xfId="0" applyNumberFormat="1" applyFont="1" applyFill="1" applyBorder="1" applyAlignment="1">
      <alignment horizontal="left" vertical="top" wrapText="1" indent="1"/>
    </xf>
    <xf numFmtId="0" fontId="6" fillId="0" borderId="34" xfId="0" applyFont="1" applyBorder="1"/>
    <xf numFmtId="0" fontId="6" fillId="0" borderId="38" xfId="0" applyFont="1" applyBorder="1"/>
    <xf numFmtId="0" fontId="6" fillId="0" borderId="10" xfId="0" applyFont="1" applyBorder="1"/>
    <xf numFmtId="0" fontId="6" fillId="0" borderId="1" xfId="0" applyFont="1" applyBorder="1" applyAlignment="1">
      <alignment horizontal="left" vertical="top" wrapText="1"/>
    </xf>
    <xf numFmtId="0" fontId="6" fillId="0" borderId="1" xfId="0" applyFont="1" applyBorder="1"/>
    <xf numFmtId="0" fontId="6" fillId="0" borderId="39" xfId="0" applyFont="1" applyBorder="1"/>
    <xf numFmtId="0" fontId="0" fillId="0" borderId="10" xfId="0" applyBorder="1" applyAlignment="1">
      <alignment horizontal="left" vertical="top" wrapText="1"/>
    </xf>
    <xf numFmtId="0" fontId="2" fillId="0" borderId="10" xfId="0" applyFont="1" applyBorder="1" applyAlignment="1">
      <alignment horizontal="left" vertical="top" wrapText="1"/>
    </xf>
    <xf numFmtId="165" fontId="0" fillId="6" borderId="6" xfId="0" applyNumberFormat="1" applyFill="1" applyBorder="1"/>
    <xf numFmtId="0" fontId="6" fillId="12" borderId="80" xfId="0" applyFont="1" applyFill="1" applyBorder="1"/>
    <xf numFmtId="165" fontId="0" fillId="0" borderId="10" xfId="0" applyNumberFormat="1" applyBorder="1"/>
    <xf numFmtId="0" fontId="7" fillId="0" borderId="0" xfId="0" applyFont="1" applyAlignment="1">
      <alignment vertical="center" wrapText="1"/>
    </xf>
    <xf numFmtId="0" fontId="47" fillId="0" borderId="0" xfId="0" applyFont="1" applyAlignment="1">
      <alignment horizontal="left" vertical="center" indent="9"/>
    </xf>
    <xf numFmtId="0" fontId="0" fillId="0" borderId="0" xfId="0" applyAlignment="1">
      <alignment horizontal="left" wrapText="1" indent="1"/>
    </xf>
    <xf numFmtId="0" fontId="54" fillId="0" borderId="0" xfId="0" applyFont="1" applyAlignment="1">
      <alignment wrapText="1"/>
    </xf>
    <xf numFmtId="0" fontId="0" fillId="0" borderId="0" xfId="0" applyAlignment="1">
      <alignment horizontal="left" wrapText="1"/>
    </xf>
    <xf numFmtId="0" fontId="18" fillId="0" borderId="0" xfId="0" applyFont="1" applyAlignment="1">
      <alignment vertical="center" wrapText="1"/>
    </xf>
    <xf numFmtId="0" fontId="0" fillId="7" borderId="58" xfId="0" applyFill="1" applyBorder="1" applyAlignment="1">
      <alignment horizontal="left" vertical="top" wrapText="1"/>
    </xf>
    <xf numFmtId="0" fontId="0" fillId="28" borderId="10" xfId="0" applyFill="1" applyBorder="1"/>
    <xf numFmtId="0" fontId="0" fillId="0" borderId="21" xfId="0" applyBorder="1"/>
    <xf numFmtId="0" fontId="57" fillId="0" borderId="10" xfId="0" applyFont="1" applyBorder="1"/>
    <xf numFmtId="0" fontId="58" fillId="25" borderId="10" xfId="0" applyFont="1" applyFill="1" applyBorder="1"/>
    <xf numFmtId="0" fontId="58" fillId="25" borderId="10" xfId="0" applyFont="1" applyFill="1" applyBorder="1" applyAlignment="1">
      <alignment horizontal="left" vertical="top" wrapText="1"/>
    </xf>
    <xf numFmtId="16" fontId="53" fillId="29" borderId="10" xfId="0" applyNumberFormat="1" applyFont="1" applyFill="1" applyBorder="1"/>
    <xf numFmtId="0" fontId="0" fillId="0" borderId="81" xfId="0" applyBorder="1"/>
    <xf numFmtId="0" fontId="0" fillId="30" borderId="10" xfId="0" applyFill="1" applyBorder="1"/>
    <xf numFmtId="0" fontId="18" fillId="0" borderId="21" xfId="0" applyFont="1" applyBorder="1"/>
    <xf numFmtId="0" fontId="12" fillId="12" borderId="3" xfId="0" applyFont="1" applyFill="1" applyBorder="1" applyAlignment="1">
      <alignment horizontal="center"/>
    </xf>
    <xf numFmtId="0" fontId="12" fillId="12" borderId="75" xfId="0" applyFont="1" applyFill="1" applyBorder="1" applyAlignment="1">
      <alignment horizontal="center"/>
    </xf>
    <xf numFmtId="0" fontId="12" fillId="12" borderId="4" xfId="0" applyFont="1" applyFill="1" applyBorder="1" applyAlignment="1">
      <alignment horizontal="center"/>
    </xf>
    <xf numFmtId="0" fontId="12" fillId="12" borderId="73" xfId="0" applyFont="1" applyFill="1" applyBorder="1" applyAlignment="1">
      <alignment horizontal="center"/>
    </xf>
    <xf numFmtId="0" fontId="12" fillId="12" borderId="74" xfId="0" applyFont="1" applyFill="1" applyBorder="1" applyAlignment="1">
      <alignment horizontal="center"/>
    </xf>
    <xf numFmtId="0" fontId="12" fillId="12" borderId="22" xfId="0" applyFont="1" applyFill="1" applyBorder="1" applyAlignment="1">
      <alignment horizontal="center"/>
    </xf>
    <xf numFmtId="0" fontId="51" fillId="12" borderId="22" xfId="0" applyFont="1" applyFill="1" applyBorder="1" applyAlignment="1">
      <alignment horizontal="center"/>
    </xf>
    <xf numFmtId="0" fontId="12" fillId="12" borderId="79" xfId="0" applyFont="1" applyFill="1" applyBorder="1" applyAlignment="1">
      <alignment horizontal="center"/>
    </xf>
    <xf numFmtId="49" fontId="0" fillId="0" borderId="1" xfId="0" applyNumberFormat="1" applyBorder="1" applyAlignment="1">
      <alignment horizontal="left"/>
    </xf>
    <xf numFmtId="0" fontId="0" fillId="30" borderId="1" xfId="0" applyFill="1" applyBorder="1"/>
    <xf numFmtId="0" fontId="18" fillId="0" borderId="81" xfId="0" applyFont="1" applyBorder="1"/>
    <xf numFmtId="0" fontId="18" fillId="30" borderId="10" xfId="0" applyFont="1" applyFill="1" applyBorder="1"/>
    <xf numFmtId="0" fontId="60" fillId="27" borderId="8" xfId="0" applyFont="1" applyFill="1" applyBorder="1"/>
    <xf numFmtId="0" fontId="61" fillId="0" borderId="1" xfId="0" applyFont="1" applyBorder="1"/>
    <xf numFmtId="0" fontId="7" fillId="0" borderId="1" xfId="0" applyFont="1" applyBorder="1"/>
    <xf numFmtId="16" fontId="53" fillId="29" borderId="29" xfId="0" applyNumberFormat="1" applyFont="1" applyFill="1" applyBorder="1"/>
    <xf numFmtId="0" fontId="6" fillId="12" borderId="21" xfId="0" applyFont="1" applyFill="1" applyBorder="1" applyAlignment="1">
      <alignment horizontal="left" vertical="top" wrapText="1"/>
    </xf>
    <xf numFmtId="165" fontId="0" fillId="0" borderId="21" xfId="0" applyNumberFormat="1" applyBorder="1"/>
    <xf numFmtId="0" fontId="21" fillId="12" borderId="22" xfId="1" applyFill="1" applyBorder="1" applyAlignment="1">
      <alignment horizontal="center"/>
    </xf>
    <xf numFmtId="0" fontId="12" fillId="12" borderId="82" xfId="0" applyFont="1" applyFill="1" applyBorder="1" applyAlignment="1">
      <alignment horizontal="center"/>
    </xf>
    <xf numFmtId="0" fontId="12" fillId="12" borderId="0" xfId="0" applyFont="1" applyFill="1" applyAlignment="1">
      <alignment horizontal="center"/>
    </xf>
    <xf numFmtId="0" fontId="6" fillId="12" borderId="83" xfId="0" applyFont="1" applyFill="1" applyBorder="1"/>
    <xf numFmtId="0" fontId="6" fillId="12" borderId="84" xfId="0" applyFont="1" applyFill="1" applyBorder="1"/>
    <xf numFmtId="0" fontId="6" fillId="12" borderId="85" xfId="0" applyFont="1" applyFill="1" applyBorder="1"/>
    <xf numFmtId="0" fontId="6" fillId="12" borderId="86" xfId="0" applyFont="1" applyFill="1" applyBorder="1"/>
    <xf numFmtId="0" fontId="6" fillId="12" borderId="87" xfId="0" applyFont="1" applyFill="1" applyBorder="1"/>
    <xf numFmtId="0" fontId="6" fillId="12" borderId="29" xfId="0" applyFont="1" applyFill="1" applyBorder="1"/>
    <xf numFmtId="0" fontId="6" fillId="12" borderId="88" xfId="0" applyFont="1" applyFill="1" applyBorder="1"/>
    <xf numFmtId="0" fontId="6" fillId="12" borderId="89" xfId="0" applyFont="1" applyFill="1" applyBorder="1"/>
    <xf numFmtId="0" fontId="6" fillId="12" borderId="90" xfId="0" applyFont="1" applyFill="1" applyBorder="1"/>
    <xf numFmtId="0" fontId="6" fillId="12" borderId="79" xfId="0" applyFont="1" applyFill="1" applyBorder="1"/>
    <xf numFmtId="0" fontId="64" fillId="12" borderId="10" xfId="0" applyFont="1" applyFill="1" applyBorder="1" applyAlignment="1">
      <alignment vertical="center" wrapText="1"/>
    </xf>
    <xf numFmtId="0" fontId="14" fillId="12" borderId="0" xfId="0" applyFont="1" applyFill="1" applyAlignment="1">
      <alignment horizontal="left" vertical="center" wrapText="1" readingOrder="1"/>
    </xf>
    <xf numFmtId="0" fontId="64" fillId="12" borderId="0" xfId="0" applyFont="1" applyFill="1" applyAlignment="1">
      <alignment vertical="center" wrapText="1"/>
    </xf>
    <xf numFmtId="0" fontId="14" fillId="12" borderId="0" xfId="0" applyFont="1" applyFill="1" applyAlignment="1">
      <alignment horizontal="center" vertical="center" wrapText="1" readingOrder="1"/>
    </xf>
    <xf numFmtId="0" fontId="40" fillId="21" borderId="10" xfId="0" applyFont="1" applyFill="1" applyBorder="1" applyAlignment="1">
      <alignment horizontal="left" vertical="center" wrapText="1" readingOrder="1"/>
    </xf>
    <xf numFmtId="0" fontId="40" fillId="21" borderId="10" xfId="0" applyFont="1" applyFill="1" applyBorder="1" applyAlignment="1">
      <alignment horizontal="center" vertical="center" wrapText="1" readingOrder="1"/>
    </xf>
    <xf numFmtId="0" fontId="14" fillId="12" borderId="10" xfId="0" applyFont="1" applyFill="1" applyBorder="1" applyAlignment="1">
      <alignment horizontal="left" vertical="center" wrapText="1" readingOrder="1"/>
    </xf>
    <xf numFmtId="0" fontId="14" fillId="12" borderId="10" xfId="0" applyFont="1" applyFill="1" applyBorder="1" applyAlignment="1">
      <alignment horizontal="center" vertical="center" wrapText="1" readingOrder="1"/>
    </xf>
    <xf numFmtId="0" fontId="0" fillId="12" borderId="10" xfId="0" applyFill="1" applyBorder="1" applyAlignment="1">
      <alignment vertical="top"/>
    </xf>
    <xf numFmtId="0" fontId="0" fillId="12" borderId="10" xfId="0" applyFill="1" applyBorder="1" applyAlignment="1">
      <alignment vertical="top" wrapText="1"/>
    </xf>
    <xf numFmtId="0" fontId="0" fillId="12" borderId="10" xfId="0" applyFill="1" applyBorder="1" applyAlignment="1">
      <alignment horizontal="center" vertical="top"/>
    </xf>
    <xf numFmtId="49" fontId="0" fillId="12" borderId="10" xfId="0" applyNumberFormat="1" applyFill="1" applyBorder="1" applyAlignment="1">
      <alignment horizontal="center" vertical="top"/>
    </xf>
    <xf numFmtId="0" fontId="67" fillId="0" borderId="0" xfId="0" applyFont="1" applyAlignment="1">
      <alignment horizontal="left" vertical="center" wrapText="1"/>
    </xf>
    <xf numFmtId="0" fontId="66" fillId="0" borderId="0" xfId="0" applyFont="1" applyAlignment="1">
      <alignment horizontal="left" vertical="center" wrapText="1"/>
    </xf>
    <xf numFmtId="0" fontId="66" fillId="0" borderId="0" xfId="0" applyFont="1" applyAlignment="1">
      <alignment horizontal="left" vertical="center" wrapText="1" indent="2"/>
    </xf>
    <xf numFmtId="0" fontId="69" fillId="18" borderId="91" xfId="0" applyFont="1" applyFill="1" applyBorder="1" applyAlignment="1">
      <alignment vertical="center" wrapText="1"/>
    </xf>
    <xf numFmtId="0" fontId="0" fillId="0" borderId="0" xfId="0" applyAlignment="1">
      <alignment horizontal="center" vertical="top"/>
    </xf>
    <xf numFmtId="0" fontId="69" fillId="18" borderId="91" xfId="0" applyFont="1" applyFill="1" applyBorder="1" applyAlignment="1">
      <alignment horizontal="center" vertical="center" wrapText="1"/>
    </xf>
    <xf numFmtId="0" fontId="70" fillId="18" borderId="91" xfId="0" applyFont="1" applyFill="1" applyBorder="1" applyAlignment="1">
      <alignment horizontal="center" vertical="center" wrapText="1"/>
    </xf>
    <xf numFmtId="0" fontId="0" fillId="12" borderId="0" xfId="0" applyFill="1"/>
    <xf numFmtId="0" fontId="53" fillId="6" borderId="1" xfId="0" applyFont="1" applyFill="1" applyBorder="1" applyAlignment="1">
      <alignment horizontal="center" vertical="top" wrapText="1"/>
    </xf>
    <xf numFmtId="0" fontId="53" fillId="6" borderId="1" xfId="0" applyFont="1" applyFill="1" applyBorder="1" applyAlignment="1">
      <alignment horizontal="center" vertical="top"/>
    </xf>
    <xf numFmtId="0" fontId="0" fillId="12" borderId="1" xfId="0" applyFill="1" applyBorder="1" applyAlignment="1">
      <alignment horizontal="center" vertical="top"/>
    </xf>
    <xf numFmtId="0" fontId="0" fillId="12" borderId="1" xfId="0" applyFill="1" applyBorder="1" applyAlignment="1">
      <alignment vertical="top"/>
    </xf>
    <xf numFmtId="0" fontId="0" fillId="12" borderId="1" xfId="0" applyFill="1" applyBorder="1" applyAlignment="1">
      <alignment vertical="top" wrapText="1"/>
    </xf>
    <xf numFmtId="49" fontId="0" fillId="12" borderId="1" xfId="0" applyNumberFormat="1" applyFill="1" applyBorder="1" applyAlignment="1">
      <alignment horizontal="center" vertical="top"/>
    </xf>
    <xf numFmtId="0" fontId="2" fillId="7" borderId="10" xfId="0" applyFont="1" applyFill="1" applyBorder="1"/>
    <xf numFmtId="0" fontId="0" fillId="8" borderId="10" xfId="0" applyFill="1" applyBorder="1" applyAlignment="1">
      <alignment vertical="top" wrapText="1"/>
    </xf>
    <xf numFmtId="0" fontId="0" fillId="8" borderId="10" xfId="0" applyFill="1" applyBorder="1" applyAlignment="1">
      <alignment vertical="top"/>
    </xf>
    <xf numFmtId="0" fontId="0" fillId="0" borderId="0" xfId="0" applyAlignment="1">
      <alignment vertical="top"/>
    </xf>
    <xf numFmtId="0" fontId="0" fillId="0" borderId="21" xfId="0" quotePrefix="1" applyBorder="1"/>
    <xf numFmtId="0" fontId="6" fillId="12" borderId="80" xfId="0" applyFont="1" applyFill="1" applyBorder="1" applyAlignment="1">
      <alignment wrapText="1"/>
    </xf>
    <xf numFmtId="0" fontId="0" fillId="7" borderId="10" xfId="0" applyFill="1" applyBorder="1" applyAlignment="1">
      <alignment vertical="top"/>
    </xf>
    <xf numFmtId="16" fontId="6" fillId="12" borderId="1" xfId="0" applyNumberFormat="1" applyFont="1" applyFill="1" applyBorder="1"/>
    <xf numFmtId="0" fontId="6" fillId="12" borderId="1" xfId="0" applyFont="1" applyFill="1" applyBorder="1"/>
    <xf numFmtId="0" fontId="0" fillId="0" borderId="1" xfId="0" applyBorder="1" applyAlignment="1">
      <alignment horizontal="left"/>
    </xf>
    <xf numFmtId="0" fontId="6" fillId="12" borderId="33" xfId="0" applyFont="1" applyFill="1" applyBorder="1" applyAlignment="1">
      <alignment horizontal="left" vertical="top" wrapText="1"/>
    </xf>
    <xf numFmtId="0" fontId="21" fillId="12" borderId="0" xfId="1" applyFill="1"/>
    <xf numFmtId="0" fontId="2" fillId="12" borderId="10" xfId="0" applyFont="1" applyFill="1" applyBorder="1" applyAlignment="1">
      <alignment horizontal="left" vertical="center" wrapText="1"/>
    </xf>
    <xf numFmtId="0" fontId="21" fillId="0" borderId="10" xfId="1" applyBorder="1" applyAlignment="1">
      <alignment wrapText="1"/>
    </xf>
    <xf numFmtId="0" fontId="42" fillId="0" borderId="10" xfId="0" applyFont="1" applyBorder="1" applyAlignment="1">
      <alignment horizontal="left" vertical="center" wrapText="1"/>
    </xf>
    <xf numFmtId="0" fontId="2" fillId="12" borderId="10" xfId="0" applyFont="1" applyFill="1" applyBorder="1" applyAlignment="1">
      <alignment horizontal="left" vertical="top" wrapText="1"/>
    </xf>
    <xf numFmtId="0" fontId="7" fillId="12" borderId="10" xfId="0" applyFont="1" applyFill="1" applyBorder="1" applyAlignment="1">
      <alignment horizontal="left" vertical="top" wrapText="1"/>
    </xf>
    <xf numFmtId="0" fontId="21" fillId="0" borderId="10" xfId="1" applyBorder="1" applyAlignment="1">
      <alignment horizontal="center" vertical="top" wrapText="1"/>
    </xf>
    <xf numFmtId="0" fontId="1" fillId="8" borderId="1" xfId="0" applyFont="1" applyFill="1" applyBorder="1" applyAlignment="1">
      <alignment horizontal="center" vertical="top" wrapText="1"/>
    </xf>
    <xf numFmtId="164" fontId="12" fillId="8" borderId="1" xfId="0" applyNumberFormat="1" applyFont="1" applyFill="1" applyBorder="1" applyAlignment="1">
      <alignment horizontal="center" vertical="top" wrapText="1"/>
    </xf>
    <xf numFmtId="164" fontId="1" fillId="8" borderId="1" xfId="0" applyNumberFormat="1" applyFont="1" applyFill="1" applyBorder="1" applyAlignment="1">
      <alignment horizontal="center" vertical="top" wrapText="1"/>
    </xf>
    <xf numFmtId="0" fontId="78" fillId="12" borderId="10" xfId="0" applyFont="1" applyFill="1" applyBorder="1" applyAlignment="1">
      <alignment vertical="center" wrapText="1"/>
    </xf>
    <xf numFmtId="0" fontId="49" fillId="32" borderId="54" xfId="0" applyFont="1" applyFill="1" applyBorder="1" applyAlignment="1">
      <alignment horizontal="left" wrapText="1"/>
    </xf>
    <xf numFmtId="0" fontId="20" fillId="32" borderId="21" xfId="0" applyFont="1" applyFill="1" applyBorder="1"/>
    <xf numFmtId="0" fontId="49" fillId="32" borderId="60" xfId="0" applyFont="1" applyFill="1" applyBorder="1" applyAlignment="1">
      <alignment horizontal="left" wrapText="1"/>
    </xf>
    <xf numFmtId="0" fontId="20" fillId="32" borderId="0" xfId="0" applyFont="1" applyFill="1" applyAlignment="1">
      <alignment wrapText="1"/>
    </xf>
    <xf numFmtId="0" fontId="49" fillId="32" borderId="23" xfId="0" applyFont="1" applyFill="1" applyBorder="1" applyAlignment="1">
      <alignment horizontal="left" wrapText="1"/>
    </xf>
    <xf numFmtId="0" fontId="50" fillId="32" borderId="10" xfId="0" applyFont="1" applyFill="1" applyBorder="1" applyAlignment="1">
      <alignment wrapText="1"/>
    </xf>
    <xf numFmtId="0" fontId="0" fillId="31" borderId="10" xfId="0" applyFill="1" applyBorder="1" applyAlignment="1">
      <alignment horizontal="left" vertical="top" wrapText="1" indent="1"/>
    </xf>
    <xf numFmtId="0" fontId="2" fillId="31" borderId="10" xfId="0" applyFont="1" applyFill="1" applyBorder="1" applyAlignment="1">
      <alignment horizontal="left" vertical="top" wrapText="1" indent="1"/>
    </xf>
    <xf numFmtId="0" fontId="2" fillId="8" borderId="10" xfId="0" applyFont="1" applyFill="1" applyBorder="1" applyAlignment="1">
      <alignment horizontal="left" vertical="top" wrapText="1" indent="1"/>
    </xf>
    <xf numFmtId="0" fontId="0" fillId="8" borderId="10" xfId="0" applyFill="1" applyBorder="1" applyAlignment="1">
      <alignment horizontal="left" vertical="top" wrapText="1" indent="1"/>
    </xf>
    <xf numFmtId="0" fontId="2" fillId="0" borderId="10" xfId="0" applyFont="1" applyBorder="1" applyAlignment="1">
      <alignment horizontal="left" vertical="center" wrapText="1"/>
    </xf>
    <xf numFmtId="0" fontId="18" fillId="0" borderId="9" xfId="0" applyFont="1" applyBorder="1" applyAlignment="1">
      <alignment vertical="center" wrapText="1"/>
    </xf>
    <xf numFmtId="0" fontId="0" fillId="20" borderId="0" xfId="0" applyFill="1"/>
    <xf numFmtId="0" fontId="21" fillId="20" borderId="0" xfId="1" applyFill="1" applyAlignment="1">
      <alignment vertical="top" wrapText="1"/>
    </xf>
    <xf numFmtId="0" fontId="21" fillId="0" borderId="10" xfId="1" applyBorder="1" applyAlignment="1">
      <alignment horizontal="center" vertical="center" wrapText="1"/>
    </xf>
    <xf numFmtId="0" fontId="18" fillId="14" borderId="10" xfId="0" applyFont="1" applyFill="1" applyBorder="1" applyAlignment="1">
      <alignment horizontal="left" vertical="top" wrapText="1"/>
    </xf>
    <xf numFmtId="0" fontId="18" fillId="13" borderId="10" xfId="0" applyFont="1" applyFill="1" applyBorder="1" applyAlignment="1">
      <alignment horizontal="left" vertical="top" wrapText="1"/>
    </xf>
    <xf numFmtId="0" fontId="18" fillId="13" borderId="10" xfId="0" applyFont="1" applyFill="1" applyBorder="1" applyAlignment="1">
      <alignment horizontal="center" vertical="top" wrapText="1"/>
    </xf>
    <xf numFmtId="0" fontId="18" fillId="12" borderId="10" xfId="0" applyFont="1" applyFill="1" applyBorder="1" applyAlignment="1">
      <alignment horizontal="left" vertical="top" wrapText="1"/>
    </xf>
    <xf numFmtId="0" fontId="21" fillId="20" borderId="10" xfId="1" applyFill="1" applyBorder="1" applyAlignment="1">
      <alignment horizontal="center" vertical="top" wrapText="1"/>
    </xf>
    <xf numFmtId="0" fontId="56" fillId="5" borderId="10" xfId="0" applyFont="1" applyFill="1" applyBorder="1" applyAlignment="1">
      <alignment wrapText="1"/>
    </xf>
    <xf numFmtId="0" fontId="56" fillId="17" borderId="9" xfId="0" applyFont="1" applyFill="1" applyBorder="1" applyAlignment="1">
      <alignment wrapText="1"/>
    </xf>
    <xf numFmtId="0" fontId="56" fillId="17" borderId="19" xfId="0" applyFont="1" applyFill="1" applyBorder="1" applyAlignment="1">
      <alignment wrapText="1"/>
    </xf>
    <xf numFmtId="0" fontId="21" fillId="12" borderId="10" xfId="1" applyFill="1" applyBorder="1" applyAlignment="1">
      <alignment horizontal="center" vertical="top" wrapText="1"/>
    </xf>
    <xf numFmtId="0" fontId="21" fillId="20" borderId="1" xfId="1" applyFill="1" applyBorder="1" applyAlignment="1">
      <alignment vertical="top" wrapText="1"/>
    </xf>
    <xf numFmtId="0" fontId="56" fillId="5" borderId="17" xfId="0" applyFont="1" applyFill="1" applyBorder="1" applyAlignment="1">
      <alignment horizontal="left" wrapText="1"/>
    </xf>
    <xf numFmtId="0" fontId="7" fillId="0" borderId="0" xfId="0" applyFont="1" applyAlignment="1">
      <alignment wrapText="1"/>
    </xf>
    <xf numFmtId="0" fontId="59" fillId="0" borderId="10" xfId="0" applyFont="1" applyBorder="1" applyAlignment="1">
      <alignment horizontal="left" vertical="center" wrapText="1"/>
    </xf>
    <xf numFmtId="0" fontId="59" fillId="0" borderId="0" xfId="0" applyFont="1" applyAlignment="1">
      <alignment wrapText="1"/>
    </xf>
    <xf numFmtId="0" fontId="82" fillId="0" borderId="0" xfId="0" applyFont="1" applyAlignment="1">
      <alignment vertical="top" wrapText="1"/>
    </xf>
    <xf numFmtId="0" fontId="81" fillId="0" borderId="0" xfId="0" applyFont="1" applyAlignment="1">
      <alignment vertical="top" wrapText="1"/>
    </xf>
    <xf numFmtId="166" fontId="56" fillId="5" borderId="33" xfId="0" applyNumberFormat="1" applyFont="1" applyFill="1" applyBorder="1" applyAlignment="1">
      <alignment wrapText="1"/>
    </xf>
    <xf numFmtId="0" fontId="0" fillId="0" borderId="0" xfId="0" applyAlignment="1">
      <alignment horizontal="center" wrapText="1"/>
    </xf>
    <xf numFmtId="0" fontId="0" fillId="33" borderId="0" xfId="0" applyFill="1" applyAlignment="1">
      <alignment horizontal="center" wrapText="1"/>
    </xf>
    <xf numFmtId="0" fontId="83" fillId="12" borderId="10" xfId="0" applyFont="1" applyFill="1" applyBorder="1" applyAlignment="1">
      <alignment horizontal="center" vertical="center" wrapText="1"/>
    </xf>
    <xf numFmtId="0" fontId="83" fillId="12" borderId="45" xfId="0" applyFont="1" applyFill="1" applyBorder="1" applyAlignment="1">
      <alignment horizontal="center" vertical="center" wrapText="1"/>
    </xf>
    <xf numFmtId="0" fontId="6" fillId="12" borderId="10" xfId="0" applyFont="1" applyFill="1" applyBorder="1" applyAlignment="1">
      <alignment horizontal="center" vertical="center" wrapText="1"/>
    </xf>
    <xf numFmtId="14" fontId="0" fillId="12" borderId="10" xfId="0" applyNumberFormat="1" applyFill="1" applyBorder="1" applyAlignment="1">
      <alignment horizontal="center" vertical="center" wrapText="1"/>
    </xf>
    <xf numFmtId="0" fontId="0" fillId="12" borderId="1" xfId="0" applyFill="1" applyBorder="1" applyAlignment="1">
      <alignment horizontal="left" vertical="top" wrapText="1"/>
    </xf>
    <xf numFmtId="0" fontId="0" fillId="12" borderId="0" xfId="0" applyFill="1" applyAlignment="1">
      <alignment horizontal="left" vertical="top" wrapText="1"/>
    </xf>
    <xf numFmtId="0" fontId="0" fillId="12" borderId="1" xfId="0" applyFill="1" applyBorder="1" applyAlignment="1">
      <alignment horizontal="center" vertical="top" wrapText="1"/>
    </xf>
    <xf numFmtId="164" fontId="6" fillId="12" borderId="1" xfId="0" applyNumberFormat="1" applyFont="1" applyFill="1" applyBorder="1" applyAlignment="1">
      <alignment horizontal="left" vertical="top" wrapText="1"/>
    </xf>
    <xf numFmtId="0" fontId="6" fillId="12" borderId="54" xfId="0" applyFont="1" applyFill="1" applyBorder="1" applyAlignment="1">
      <alignment horizontal="left" vertical="top" wrapText="1"/>
    </xf>
    <xf numFmtId="164" fontId="6" fillId="12" borderId="21" xfId="0" applyNumberFormat="1" applyFont="1" applyFill="1" applyBorder="1" applyAlignment="1">
      <alignment horizontal="left" vertical="top" wrapText="1"/>
    </xf>
    <xf numFmtId="0" fontId="0" fillId="12" borderId="33" xfId="0" applyFill="1" applyBorder="1" applyAlignment="1">
      <alignment horizontal="left" vertical="top" wrapText="1"/>
    </xf>
    <xf numFmtId="164" fontId="0" fillId="12" borderId="1" xfId="0" applyNumberFormat="1" applyFill="1" applyBorder="1" applyAlignment="1">
      <alignment horizontal="left" vertical="top" wrapText="1"/>
    </xf>
    <xf numFmtId="16" fontId="0" fillId="12" borderId="1" xfId="0" applyNumberFormat="1" applyFill="1" applyBorder="1" applyAlignment="1">
      <alignment horizontal="left" vertical="top" wrapText="1"/>
    </xf>
    <xf numFmtId="164" fontId="0" fillId="12" borderId="29" xfId="0" applyNumberFormat="1" applyFill="1" applyBorder="1" applyAlignment="1">
      <alignment horizontal="left" vertical="top" wrapText="1"/>
    </xf>
    <xf numFmtId="14" fontId="0" fillId="12" borderId="29" xfId="0" applyNumberFormat="1" applyFill="1" applyBorder="1" applyAlignment="1">
      <alignment horizontal="left" vertical="top" wrapText="1"/>
    </xf>
    <xf numFmtId="164" fontId="0" fillId="12" borderId="21" xfId="0" applyNumberFormat="1" applyFill="1" applyBorder="1" applyAlignment="1">
      <alignment horizontal="left" vertical="top" wrapText="1"/>
    </xf>
    <xf numFmtId="14" fontId="0" fillId="12" borderId="21" xfId="0" applyNumberFormat="1" applyFill="1" applyBorder="1" applyAlignment="1">
      <alignment horizontal="left" vertical="top" wrapText="1"/>
    </xf>
    <xf numFmtId="164" fontId="0" fillId="12" borderId="7" xfId="0" applyNumberFormat="1" applyFill="1" applyBorder="1" applyAlignment="1">
      <alignment horizontal="left" vertical="top" wrapText="1"/>
    </xf>
    <xf numFmtId="164" fontId="0" fillId="12" borderId="60" xfId="0" applyNumberFormat="1" applyFill="1" applyBorder="1" applyAlignment="1">
      <alignment horizontal="left" vertical="top" wrapText="1"/>
    </xf>
    <xf numFmtId="0" fontId="0" fillId="12" borderId="92" xfId="0" applyFill="1" applyBorder="1" applyAlignment="1">
      <alignment horizontal="left" vertical="top" wrapText="1"/>
    </xf>
    <xf numFmtId="14" fontId="0" fillId="12" borderId="10" xfId="0" applyNumberFormat="1" applyFill="1" applyBorder="1" applyAlignment="1">
      <alignment horizontal="left" vertical="top" wrapText="1"/>
    </xf>
    <xf numFmtId="16" fontId="83" fillId="12" borderId="10" xfId="0" applyNumberFormat="1" applyFont="1" applyFill="1" applyBorder="1" applyAlignment="1">
      <alignment horizontal="center" vertical="center" wrapText="1"/>
    </xf>
    <xf numFmtId="16" fontId="84" fillId="12" borderId="10" xfId="0" applyNumberFormat="1" applyFont="1" applyFill="1" applyBorder="1" applyAlignment="1">
      <alignment horizontal="center" vertical="center" wrapText="1"/>
    </xf>
    <xf numFmtId="16" fontId="85" fillId="12" borderId="10" xfId="0" applyNumberFormat="1" applyFont="1" applyFill="1" applyBorder="1" applyAlignment="1">
      <alignment horizontal="center" vertical="center" wrapText="1"/>
    </xf>
    <xf numFmtId="0" fontId="79" fillId="0" borderId="0" xfId="0" applyFont="1" applyAlignment="1">
      <alignment horizontal="center" wrapText="1"/>
    </xf>
    <xf numFmtId="0" fontId="1" fillId="8" borderId="2" xfId="0" applyFont="1" applyFill="1" applyBorder="1" applyAlignment="1">
      <alignment horizontal="center" vertical="top" wrapText="1"/>
    </xf>
    <xf numFmtId="16" fontId="83" fillId="12" borderId="29" xfId="0" applyNumberFormat="1" applyFont="1" applyFill="1" applyBorder="1" applyAlignment="1">
      <alignment horizontal="center" vertical="center" wrapText="1"/>
    </xf>
    <xf numFmtId="164" fontId="0" fillId="12" borderId="93" xfId="0" applyNumberFormat="1" applyFill="1" applyBorder="1" applyAlignment="1">
      <alignment horizontal="left" vertical="top" wrapText="1"/>
    </xf>
    <xf numFmtId="0" fontId="0" fillId="12" borderId="29" xfId="0" applyFill="1" applyBorder="1" applyAlignment="1">
      <alignment horizontal="left" vertical="top" wrapText="1"/>
    </xf>
    <xf numFmtId="0" fontId="0" fillId="12" borderId="93" xfId="0" applyFill="1" applyBorder="1" applyAlignment="1">
      <alignment horizontal="left" vertical="top" wrapText="1"/>
    </xf>
    <xf numFmtId="14" fontId="52" fillId="12" borderId="47" xfId="0" applyNumberFormat="1" applyFont="1" applyFill="1" applyBorder="1" applyAlignment="1">
      <alignment horizontal="left" vertical="top" wrapText="1"/>
    </xf>
    <xf numFmtId="16" fontId="83" fillId="12" borderId="1" xfId="0" applyNumberFormat="1" applyFont="1" applyFill="1" applyBorder="1" applyAlignment="1">
      <alignment horizontal="center" vertical="center" wrapText="1"/>
    </xf>
    <xf numFmtId="14" fontId="0" fillId="12" borderId="1" xfId="0" applyNumberFormat="1" applyFill="1" applyBorder="1" applyAlignment="1">
      <alignment horizontal="left" vertical="top" wrapText="1"/>
    </xf>
    <xf numFmtId="16" fontId="86" fillId="0" borderId="0" xfId="0" applyNumberFormat="1" applyFont="1" applyAlignment="1">
      <alignment wrapText="1"/>
    </xf>
    <xf numFmtId="0" fontId="0" fillId="0" borderId="50" xfId="0" quotePrefix="1" applyBorder="1"/>
    <xf numFmtId="16" fontId="2" fillId="12" borderId="10" xfId="0" applyNumberFormat="1" applyFont="1" applyFill="1" applyBorder="1" applyAlignment="1">
      <alignment horizontal="left" vertical="top" wrapText="1"/>
    </xf>
    <xf numFmtId="0" fontId="49" fillId="32" borderId="21" xfId="0" applyFont="1" applyFill="1" applyBorder="1"/>
    <xf numFmtId="0" fontId="7" fillId="31" borderId="10" xfId="0" applyFont="1" applyFill="1" applyBorder="1" applyAlignment="1">
      <alignment horizontal="left" vertical="top" wrapText="1" indent="1"/>
    </xf>
    <xf numFmtId="0" fontId="7" fillId="8" borderId="10" xfId="0" applyFont="1" applyFill="1" applyBorder="1" applyAlignment="1">
      <alignment horizontal="left" vertical="top" wrapText="1" indent="1"/>
    </xf>
    <xf numFmtId="0" fontId="2" fillId="0" borderId="0" xfId="0" applyFont="1" applyAlignment="1">
      <alignment horizontal="left" vertical="top" wrapText="1" indent="1"/>
    </xf>
    <xf numFmtId="0" fontId="49" fillId="32" borderId="59" xfId="0" applyFont="1" applyFill="1" applyBorder="1" applyAlignment="1">
      <alignment horizontal="left" wrapText="1"/>
    </xf>
    <xf numFmtId="16" fontId="0" fillId="12" borderId="92" xfId="0" applyNumberFormat="1" applyFill="1" applyBorder="1" applyAlignment="1">
      <alignment horizontal="left" vertical="top" wrapText="1"/>
    </xf>
    <xf numFmtId="20" fontId="0" fillId="8" borderId="10" xfId="0" applyNumberFormat="1" applyFill="1" applyBorder="1" applyAlignment="1">
      <alignment vertical="top" wrapText="1"/>
    </xf>
    <xf numFmtId="16" fontId="53" fillId="29" borderId="1" xfId="0" applyNumberFormat="1" applyFont="1" applyFill="1" applyBorder="1"/>
    <xf numFmtId="0" fontId="0" fillId="0" borderId="1" xfId="0" quotePrefix="1" applyBorder="1"/>
    <xf numFmtId="0" fontId="2" fillId="12" borderId="1" xfId="0" applyFont="1" applyFill="1" applyBorder="1" applyAlignment="1">
      <alignment horizontal="center" vertical="top" wrapText="1"/>
    </xf>
    <xf numFmtId="18" fontId="0" fillId="12" borderId="54" xfId="0" applyNumberFormat="1" applyFill="1" applyBorder="1" applyAlignment="1">
      <alignment horizontal="center" vertical="top" wrapText="1"/>
    </xf>
    <xf numFmtId="20" fontId="0" fillId="12" borderId="10" xfId="0" applyNumberFormat="1" applyFill="1" applyBorder="1" applyAlignment="1">
      <alignment horizontal="center" vertical="top" wrapText="1"/>
    </xf>
    <xf numFmtId="18" fontId="0" fillId="12" borderId="10" xfId="0" applyNumberFormat="1" applyFill="1" applyBorder="1" applyAlignment="1">
      <alignment horizontal="center" vertical="top" wrapText="1"/>
    </xf>
    <xf numFmtId="0" fontId="0" fillId="12" borderId="33" xfId="0" applyFill="1" applyBorder="1" applyAlignment="1">
      <alignment horizontal="center" vertical="top" wrapText="1"/>
    </xf>
    <xf numFmtId="0" fontId="2" fillId="12" borderId="10" xfId="0" applyFont="1" applyFill="1" applyBorder="1" applyAlignment="1">
      <alignment horizontal="center" vertical="top" wrapText="1"/>
    </xf>
    <xf numFmtId="16" fontId="0" fillId="12" borderId="1" xfId="0" applyNumberFormat="1" applyFill="1" applyBorder="1" applyAlignment="1">
      <alignment horizontal="center" vertical="top" wrapText="1"/>
    </xf>
    <xf numFmtId="0" fontId="0" fillId="34" borderId="10" xfId="0" applyFill="1" applyBorder="1"/>
    <xf numFmtId="0" fontId="86" fillId="0" borderId="0" xfId="0" applyFont="1" applyAlignment="1">
      <alignment horizontal="center" vertical="top"/>
    </xf>
    <xf numFmtId="0" fontId="86" fillId="0" borderId="0" xfId="0" applyFont="1" applyAlignment="1">
      <alignment horizontal="center" vertical="top" wrapText="1"/>
    </xf>
    <xf numFmtId="0" fontId="86" fillId="0" borderId="28" xfId="0" applyFont="1" applyBorder="1" applyAlignment="1">
      <alignment horizontal="center" vertical="top" wrapText="1"/>
    </xf>
    <xf numFmtId="14" fontId="0" fillId="12" borderId="33" xfId="0" applyNumberFormat="1" applyFill="1" applyBorder="1" applyAlignment="1">
      <alignment horizontal="left" vertical="top" wrapText="1"/>
    </xf>
    <xf numFmtId="20" fontId="2" fillId="12" borderId="10" xfId="0" applyNumberFormat="1" applyFont="1" applyFill="1" applyBorder="1" applyAlignment="1">
      <alignment horizontal="center" vertical="top" wrapText="1"/>
    </xf>
    <xf numFmtId="18" fontId="2" fillId="12" borderId="10" xfId="0" applyNumberFormat="1" applyFont="1" applyFill="1" applyBorder="1" applyAlignment="1">
      <alignment horizontal="center" vertical="top" wrapText="1"/>
    </xf>
    <xf numFmtId="14" fontId="2" fillId="12" borderId="21" xfId="0" applyNumberFormat="1" applyFont="1" applyFill="1" applyBorder="1" applyAlignment="1">
      <alignment horizontal="left" vertical="top" wrapText="1"/>
    </xf>
    <xf numFmtId="0" fontId="0" fillId="12" borderId="0" xfId="0" applyFill="1" applyAlignment="1">
      <alignment horizontal="center" wrapText="1"/>
    </xf>
    <xf numFmtId="0" fontId="0" fillId="35" borderId="10" xfId="0" applyFill="1" applyBorder="1" applyAlignment="1">
      <alignment horizontal="center" vertical="top" wrapText="1"/>
    </xf>
    <xf numFmtId="0" fontId="0" fillId="35" borderId="1" xfId="0" applyFill="1" applyBorder="1" applyAlignment="1">
      <alignment horizontal="center" vertical="top" wrapText="1"/>
    </xf>
    <xf numFmtId="0" fontId="2" fillId="35" borderId="1" xfId="0" applyFont="1" applyFill="1" applyBorder="1" applyAlignment="1">
      <alignment horizontal="center" vertical="top" wrapText="1"/>
    </xf>
    <xf numFmtId="0" fontId="55" fillId="9" borderId="8" xfId="0" applyFont="1" applyFill="1" applyBorder="1" applyAlignment="1">
      <alignment horizontal="left" vertical="top" wrapText="1"/>
    </xf>
    <xf numFmtId="0" fontId="19" fillId="8" borderId="10" xfId="0" applyFont="1" applyFill="1" applyBorder="1"/>
    <xf numFmtId="0" fontId="53" fillId="6" borderId="1" xfId="0" applyFont="1" applyFill="1" applyBorder="1" applyAlignment="1">
      <alignment horizontal="center"/>
    </xf>
    <xf numFmtId="0" fontId="53" fillId="16" borderId="10" xfId="0" quotePrefix="1" applyFont="1" applyFill="1" applyBorder="1" applyAlignment="1">
      <alignment horizontal="left" vertical="top" wrapText="1"/>
    </xf>
    <xf numFmtId="0" fontId="53" fillId="16" borderId="10" xfId="0" applyFont="1" applyFill="1" applyBorder="1" applyAlignment="1">
      <alignment horizontal="left" vertical="top" wrapText="1"/>
    </xf>
    <xf numFmtId="0" fontId="4" fillId="4" borderId="3" xfId="0" applyFont="1" applyFill="1" applyBorder="1" applyAlignment="1">
      <alignment horizontal="center"/>
    </xf>
    <xf numFmtId="0" fontId="4" fillId="4" borderId="4" xfId="0" applyFont="1" applyFill="1" applyBorder="1" applyAlignment="1">
      <alignment horizontal="center"/>
    </xf>
    <xf numFmtId="0" fontId="18" fillId="4" borderId="3" xfId="0" applyFont="1" applyFill="1" applyBorder="1" applyAlignment="1">
      <alignment horizontal="center"/>
    </xf>
    <xf numFmtId="0" fontId="18" fillId="4" borderId="4" xfId="0" applyFont="1" applyFill="1" applyBorder="1" applyAlignment="1">
      <alignment horizontal="center"/>
    </xf>
    <xf numFmtId="0" fontId="22" fillId="11" borderId="22" xfId="0" applyFont="1" applyFill="1" applyBorder="1" applyAlignment="1">
      <alignment horizontal="center"/>
    </xf>
    <xf numFmtId="0" fontId="38" fillId="0" borderId="0" xfId="0" applyFont="1" applyAlignment="1">
      <alignment horizontal="center" vertical="center"/>
    </xf>
    <xf numFmtId="0" fontId="65" fillId="6" borderId="10" xfId="0" applyFont="1" applyFill="1" applyBorder="1" applyAlignment="1">
      <alignment horizontal="center"/>
    </xf>
    <xf numFmtId="0" fontId="39" fillId="6" borderId="0" xfId="0" applyFont="1" applyFill="1" applyAlignment="1">
      <alignment horizontal="center"/>
    </xf>
    <xf numFmtId="0" fontId="39" fillId="6" borderId="27" xfId="0" applyFont="1" applyFill="1" applyBorder="1" applyAlignment="1">
      <alignment horizontal="center"/>
    </xf>
    <xf numFmtId="0" fontId="69" fillId="18" borderId="91" xfId="0" applyFont="1" applyFill="1" applyBorder="1" applyAlignment="1">
      <alignment horizontal="center" vertical="center" wrapText="1"/>
    </xf>
    <xf numFmtId="0" fontId="42" fillId="0" borderId="21" xfId="0" applyFont="1" applyBorder="1" applyAlignment="1">
      <alignment horizontal="left" vertical="center"/>
    </xf>
    <xf numFmtId="0" fontId="42" fillId="0" borderId="7" xfId="0" applyFont="1" applyBorder="1" applyAlignment="1">
      <alignment horizontal="left" vertical="center"/>
    </xf>
    <xf numFmtId="0" fontId="42" fillId="0" borderId="29" xfId="0" applyFont="1" applyBorder="1" applyAlignment="1">
      <alignment horizontal="left" vertical="center"/>
    </xf>
    <xf numFmtId="0" fontId="21" fillId="0" borderId="10" xfId="1" applyBorder="1" applyAlignment="1">
      <alignment horizontal="center" vertical="top" wrapText="1"/>
    </xf>
    <xf numFmtId="0" fontId="21" fillId="0" borderId="11" xfId="1" applyBorder="1" applyAlignment="1">
      <alignment horizontal="center" vertical="top" wrapText="1"/>
    </xf>
    <xf numFmtId="0" fontId="28" fillId="8" borderId="12" xfId="0" applyFont="1" applyFill="1" applyBorder="1" applyAlignment="1">
      <alignment horizontal="center" vertical="top" wrapText="1"/>
    </xf>
    <xf numFmtId="0" fontId="28" fillId="8" borderId="14" xfId="0" applyFont="1" applyFill="1" applyBorder="1" applyAlignment="1">
      <alignment horizontal="center" vertical="top" wrapText="1"/>
    </xf>
    <xf numFmtId="0" fontId="28" fillId="8" borderId="15" xfId="0" applyFont="1" applyFill="1" applyBorder="1" applyAlignment="1">
      <alignment horizontal="center" vertical="top" wrapText="1"/>
    </xf>
    <xf numFmtId="0" fontId="21" fillId="0" borderId="52" xfId="1" applyBorder="1" applyAlignment="1">
      <alignment horizontal="center" vertical="top" wrapText="1"/>
    </xf>
    <xf numFmtId="0" fontId="21" fillId="0" borderId="53" xfId="1" applyBorder="1" applyAlignment="1">
      <alignment horizontal="center" vertical="top" wrapText="1"/>
    </xf>
    <xf numFmtId="0" fontId="43" fillId="24" borderId="33" xfId="0" applyFont="1" applyFill="1" applyBorder="1" applyAlignment="1">
      <alignment horizontal="center"/>
    </xf>
    <xf numFmtId="0" fontId="43" fillId="24" borderId="58" xfId="0" applyFont="1" applyFill="1" applyBorder="1" applyAlignment="1">
      <alignment horizontal="center"/>
    </xf>
    <xf numFmtId="0" fontId="43" fillId="24" borderId="17" xfId="0" applyFont="1" applyFill="1" applyBorder="1" applyAlignment="1">
      <alignment horizontal="center"/>
    </xf>
    <xf numFmtId="0" fontId="56" fillId="17" borderId="19" xfId="0" applyFont="1" applyFill="1" applyBorder="1" applyAlignment="1">
      <alignment horizontal="center" wrapText="1"/>
    </xf>
    <xf numFmtId="0" fontId="56" fillId="17" borderId="94" xfId="0" applyFont="1" applyFill="1" applyBorder="1" applyAlignment="1">
      <alignment horizontal="center" wrapText="1"/>
    </xf>
  </cellXfs>
  <cellStyles count="2">
    <cellStyle name="Hyperlink" xfId="1" builtinId="8"/>
    <cellStyle name="Normal" xfId="0" builtinId="0"/>
  </cellStyles>
  <dxfs count="167">
    <dxf>
      <alignment horizontal="left"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m/d;@"/>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m/d;@"/>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top" textRotation="0" wrapText="1" indent="0" justifyLastLine="0" shrinkToFit="0" readingOrder="0"/>
    </dxf>
    <dxf>
      <fill>
        <patternFill patternType="none">
          <fgColor indexed="64"/>
          <bgColor indexed="65"/>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border diagonalUp="0" diagonalDown="0">
        <left style="thin">
          <color rgb="FF000000"/>
        </left>
        <right style="thin">
          <color rgb="FF000000"/>
        </right>
        <top style="thin">
          <color rgb="FF000000"/>
        </top>
        <bottom style="thin">
          <color rgb="FF000000"/>
        </bottom>
        <vertical/>
        <horizontal/>
      </border>
    </dxf>
    <dxf>
      <border outline="0">
        <top style="medium">
          <color rgb="FF000000"/>
        </top>
        <bottom style="thin">
          <color rgb="FF000000"/>
        </bottom>
      </border>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b/>
        <i val="0"/>
      </font>
      <fill>
        <patternFill>
          <bgColor rgb="FFFF0000"/>
        </patternFill>
      </fill>
    </dxf>
    <dxf>
      <fill>
        <patternFill patternType="solid">
          <fgColor theme="4" tint="0.79998168889431442"/>
          <bgColor theme="4" tint="0.79998168889431442"/>
        </patternFill>
      </fill>
      <border diagonalUp="0" diagonalDown="0">
        <left style="thin">
          <color indexed="64"/>
        </left>
        <right/>
        <top style="thin">
          <color indexed="64"/>
        </top>
        <bottom style="thin">
          <color indexed="64"/>
        </bottom>
        <vertical/>
        <horizontal/>
      </border>
    </dxf>
    <dxf>
      <fill>
        <patternFill patternType="solid">
          <fgColor theme="4" tint="0.79998168889431442"/>
          <bgColor theme="4" tint="0.79998168889431442"/>
        </patternFill>
      </fill>
      <border diagonalUp="0" diagonalDown="0">
        <left/>
        <right style="thin">
          <color indexed="64"/>
        </right>
        <top style="thin">
          <color indexed="64"/>
        </top>
        <bottom style="thin">
          <color indexed="64"/>
        </bottom>
        <vertical/>
        <horizontal/>
      </border>
    </dxf>
    <dxf>
      <border outline="0">
        <bottom style="thin">
          <color indexed="64"/>
        </bottom>
      </border>
    </dxf>
    <dxf>
      <border outline="0">
        <top style="thin">
          <color indexed="64"/>
        </top>
      </border>
    </dxf>
    <dxf>
      <font>
        <b/>
        <i val="0"/>
        <strike val="0"/>
        <condense val="0"/>
        <extend val="0"/>
        <outline val="0"/>
        <shadow val="0"/>
        <u val="none"/>
        <vertAlign val="baseline"/>
        <sz val="11"/>
        <color theme="0"/>
        <name val="Calibri"/>
        <family val="2"/>
        <scheme val="minor"/>
      </font>
      <numFmt numFmtId="21" formatCode="d\-mmm"/>
      <fill>
        <patternFill patternType="solid">
          <fgColor theme="4"/>
          <bgColor theme="4"/>
        </patternFill>
      </fill>
      <border diagonalUp="0" diagonalDown="0" outline="0">
        <left style="thin">
          <color indexed="64"/>
        </left>
        <right style="thin">
          <color indexed="64"/>
        </right>
        <top/>
        <bottom/>
      </border>
    </dxf>
    <dxf>
      <fill>
        <patternFill patternType="none">
          <fgColor indexed="64"/>
          <bgColor indexed="65"/>
        </patternFill>
      </fill>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21" formatCode="d\-mmm"/>
      <fill>
        <patternFill patternType="none">
          <fgColor indexed="64"/>
          <bgColor indexed="65"/>
        </patternFill>
      </fill>
      <border diagonalUp="0" diagonalDown="0">
        <left style="thin">
          <color indexed="64"/>
        </left>
        <right style="thin">
          <color indexed="64"/>
        </right>
        <top/>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right style="medium">
          <color indexed="64"/>
        </right>
        <bottom style="thin">
          <color indexed="64"/>
        </bottom>
      </border>
    </dxf>
    <dxf>
      <fill>
        <patternFill patternType="none">
          <fgColor indexed="64"/>
          <bgColor indexed="65"/>
        </patternFill>
      </fill>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outline="0">
        <right style="medium">
          <color indexed="64"/>
        </right>
        <top style="medium">
          <color indexed="64"/>
        </top>
      </border>
    </dxf>
    <dxf>
      <font>
        <b/>
        <i val="0"/>
        <strike val="0"/>
        <condense val="0"/>
        <extend val="0"/>
        <outline val="0"/>
        <shadow val="0"/>
        <u val="none"/>
        <vertAlign val="baseline"/>
        <sz val="11"/>
        <color theme="1"/>
        <name val="Calibri"/>
        <family val="2"/>
        <scheme val="minor"/>
      </font>
      <numFmt numFmtId="21" formatCode="d\-mmm"/>
      <fill>
        <patternFill patternType="none">
          <fgColor indexed="64"/>
          <bgColor indexed="65"/>
        </patternFill>
      </fill>
      <border diagonalUp="0" diagonalDown="0">
        <left style="thin">
          <color indexed="64"/>
        </left>
        <right style="thin">
          <color indexed="64"/>
        </right>
        <top/>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right style="medium">
          <color indexed="64"/>
        </right>
        <top style="medium">
          <color indexed="64"/>
        </top>
        <bottom style="medium">
          <color indexed="64"/>
        </bottom>
      </border>
    </dxf>
    <dxf>
      <font>
        <b/>
        <i val="0"/>
        <strike val="0"/>
        <condense val="0"/>
        <extend val="0"/>
        <outline val="0"/>
        <shadow val="0"/>
        <u val="none"/>
        <vertAlign val="baseline"/>
        <sz val="11"/>
        <color theme="1"/>
        <name val="Calibri"/>
        <family val="2"/>
        <scheme val="minor"/>
      </font>
      <numFmt numFmtId="21" formatCode="d\-mmm"/>
      <fill>
        <patternFill patternType="none">
          <fgColor indexed="64"/>
          <bgColor indexed="65"/>
        </patternFill>
      </fill>
      <border diagonalUp="0" diagonalDown="0" outline="0">
        <left style="medium">
          <color indexed="64"/>
        </left>
        <right style="medium">
          <color indexed="64"/>
        </right>
        <top/>
        <bottom/>
      </border>
    </dxf>
    <dxf>
      <fill>
        <patternFill patternType="none">
          <fgColor indexed="64"/>
          <bgColor auto="1"/>
        </patternFill>
      </fill>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dxf>
    <dxf>
      <font>
        <b/>
        <i val="0"/>
        <strike val="0"/>
        <condense val="0"/>
        <extend val="0"/>
        <outline val="0"/>
        <shadow val="0"/>
        <u val="none"/>
        <vertAlign val="baseline"/>
        <sz val="11"/>
        <color theme="1"/>
        <name val="Calibri"/>
        <family val="2"/>
        <scheme val="minor"/>
      </font>
      <numFmt numFmtId="21" formatCode="d\-mmm"/>
      <fill>
        <patternFill patternType="none">
          <fgColor indexed="64"/>
          <bgColor auto="1"/>
        </patternFill>
      </fill>
      <border diagonalUp="0" diagonalDown="0">
        <left style="thin">
          <color indexed="64"/>
        </left>
        <right style="thin">
          <color indexed="64"/>
        </right>
        <top/>
        <bottom/>
        <vertical style="thin">
          <color indexed="64"/>
        </vertical>
        <horizontal style="thin">
          <color indexed="64"/>
        </horizontal>
      </border>
    </dxf>
    <dxf>
      <alignmen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1" indent="0" justifyLastLine="0" shrinkToFit="0" readingOrder="0"/>
      <border outline="0">
        <left style="thin">
          <color rgb="FF000000"/>
        </left>
        <right style="thin">
          <color rgb="FF000000"/>
        </right>
        <top style="thin">
          <color rgb="FF000000"/>
        </top>
        <bottom style="thin">
          <color rgb="FF000000"/>
        </bottom>
      </border>
    </dxf>
    <dxf>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textRotation="0" wrapText="1" indent="0" justifyLastLine="0" shrinkToFit="0" readingOrder="0"/>
    </dxf>
    <dxf>
      <alignment wrapText="1"/>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7" formatCode="m/d/yyyy\ h:mm"/>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i val="0"/>
        <color theme="0"/>
      </font>
      <fill>
        <patternFill>
          <bgColor rgb="FF00B050"/>
        </patternFill>
      </fill>
    </dxf>
    <dxf>
      <font>
        <b/>
        <i val="0"/>
        <color theme="0"/>
      </font>
      <fill>
        <patternFill>
          <bgColor theme="7"/>
        </patternFill>
      </fill>
    </dxf>
    <dxf>
      <font>
        <b/>
        <i val="0"/>
        <color theme="0"/>
      </font>
      <fill>
        <patternFill>
          <bgColor rgb="FFFF0000"/>
        </patternFill>
      </fill>
    </dxf>
    <dxf>
      <font>
        <b/>
        <i val="0"/>
        <color theme="0"/>
      </font>
      <fill>
        <patternFill>
          <bgColor theme="0" tint="-0.34998626667073579"/>
        </patternFill>
      </fill>
    </dxf>
    <dxf>
      <font>
        <b/>
        <i val="0"/>
        <color theme="0"/>
      </font>
      <fill>
        <patternFill>
          <bgColor rgb="FF00B050"/>
        </patternFill>
      </fill>
    </dxf>
    <dxf>
      <font>
        <b/>
        <i val="0"/>
        <color theme="0"/>
      </font>
      <fill>
        <patternFill>
          <bgColor theme="7"/>
        </patternFill>
      </fill>
    </dxf>
    <dxf>
      <font>
        <b/>
        <i val="0"/>
        <color theme="0"/>
      </font>
      <fill>
        <patternFill>
          <bgColor rgb="FFFF0000"/>
        </patternFill>
      </fill>
    </dxf>
    <dxf>
      <font>
        <b/>
        <i val="0"/>
        <color theme="0"/>
      </font>
      <fill>
        <patternFill>
          <bgColor theme="0" tint="-0.34998626667073579"/>
        </patternFill>
      </fill>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left" vertical="center" textRotation="0" wrapText="1" indent="0" justifyLastLine="0" shrinkToFit="0" readingOrder="0"/>
      <border diagonalUp="0" diagonalDown="0" outline="0">
        <left style="medium">
          <color indexed="64"/>
        </left>
        <right/>
        <top/>
        <bottom style="medium">
          <color indexed="64"/>
        </bottom>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center" textRotation="0" wrapText="1" indent="0" justifyLastLine="0" shrinkToFit="0" readingOrder="0"/>
      <border diagonalUp="0" diagonalDown="0" outline="0">
        <left style="medium">
          <color indexed="64"/>
        </left>
        <right/>
        <top/>
        <bottom style="medium">
          <color indexed="64"/>
        </bottom>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center" textRotation="0" wrapText="1" indent="0" justifyLastLine="0" shrinkToFit="0" readingOrder="0"/>
      <border diagonalUp="0" diagonalDown="0" outline="0">
        <left style="medium">
          <color indexed="64"/>
        </left>
        <right/>
        <top/>
        <bottom style="medium">
          <color indexed="64"/>
        </bottom>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center" textRotation="0" wrapText="1" indent="0" justifyLastLine="0" shrinkToFit="0" readingOrder="0"/>
      <border diagonalUp="0" diagonalDown="0" outline="0">
        <left style="medium">
          <color indexed="64"/>
        </left>
        <right/>
        <top/>
        <bottom style="medium">
          <color indexed="64"/>
        </bottom>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center" textRotation="0" wrapText="1" indent="0" justifyLastLine="0" shrinkToFit="0" readingOrder="0"/>
      <border diagonalUp="0" diagonalDown="0" outline="0">
        <left/>
        <right/>
        <top/>
        <bottom style="medium">
          <color indexed="64"/>
        </bottom>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general" vertical="center" textRotation="0" wrapText="1" indent="0" justifyLastLine="0" shrinkToFit="0" readingOrder="0"/>
      <border diagonalUp="0" diagonalDown="0" outline="0">
        <left/>
        <right/>
        <top/>
        <bottom style="medium">
          <color indexed="64"/>
        </bottom>
      </border>
    </dxf>
    <dxf>
      <border outline="0">
        <bottom style="medium">
          <color indexed="64"/>
        </bottom>
      </border>
    </dxf>
    <dxf>
      <border outline="0">
        <left style="medium">
          <color indexed="64"/>
        </left>
        <right style="medium">
          <color indexed="64"/>
        </right>
        <bottom style="medium">
          <color indexed="64"/>
        </bottom>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general" vertical="center" textRotation="0" wrapText="1" indent="0" justifyLastLine="0" shrinkToFit="0" readingOrder="0"/>
    </dxf>
    <dxf>
      <font>
        <b/>
        <i val="0"/>
        <strike val="0"/>
        <condense val="0"/>
        <extend val="0"/>
        <outline val="0"/>
        <shadow val="0"/>
        <u val="none"/>
        <vertAlign val="baseline"/>
        <sz val="11"/>
        <color theme="0"/>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fill>
        <patternFill>
          <bgColor theme="9" tint="0.79998168889431442"/>
        </patternFill>
      </fill>
    </dxf>
    <dxf>
      <fill>
        <patternFill>
          <bgColor theme="8" tint="0.79998168889431442"/>
        </patternFill>
      </fill>
    </dxf>
    <dxf>
      <fill>
        <patternFill>
          <bgColor theme="7" tint="0.79998168889431442"/>
        </patternFill>
      </fill>
    </dxf>
    <dxf>
      <fill>
        <patternFill>
          <bgColor theme="6" tint="0.79998168889431442"/>
        </patternFill>
      </fill>
    </dxf>
    <dxf>
      <fill>
        <patternFill>
          <bgColor theme="5" tint="0.79998168889431442"/>
        </patternFill>
      </fill>
    </dxf>
    <dxf>
      <font>
        <color theme="0"/>
      </font>
      <fill>
        <patternFill>
          <bgColor theme="1"/>
        </patternFill>
      </fill>
    </dxf>
    <dxf>
      <font>
        <color rgb="FF9C0006"/>
      </font>
      <fill>
        <patternFill>
          <bgColor rgb="FFFFC7CE"/>
        </patternFill>
      </fill>
    </dxf>
    <dxf>
      <font>
        <b/>
        <i val="0"/>
        <color rgb="FF9C5700"/>
      </font>
      <fill>
        <patternFill>
          <bgColor rgb="FFFFEB9C"/>
        </patternFill>
      </fill>
    </dxf>
    <dxf>
      <font>
        <color rgb="FF006100"/>
      </font>
      <fill>
        <patternFill>
          <bgColor rgb="FFC6EFCE"/>
        </patternFill>
      </fill>
    </dxf>
    <dxf>
      <font>
        <b/>
        <i val="0"/>
        <color theme="0"/>
      </font>
      <fill>
        <patternFill>
          <bgColor rgb="FF2726DD"/>
        </patternFill>
      </fill>
    </dxf>
    <dxf>
      <fill>
        <patternFill>
          <bgColor theme="0" tint="-0.34998626667073579"/>
        </patternFill>
      </fill>
    </dxf>
    <dxf>
      <font>
        <b/>
        <i val="0"/>
        <color auto="1"/>
      </font>
      <fill>
        <patternFill patternType="none">
          <bgColor auto="1"/>
        </patternFill>
      </fill>
    </dxf>
    <dxf>
      <font>
        <b/>
        <i val="0"/>
      </font>
      <fill>
        <patternFill>
          <bgColor rgb="FFFF0000"/>
        </patternFill>
      </fill>
    </dxf>
    <dxf>
      <font>
        <b/>
        <i val="0"/>
      </font>
      <fill>
        <patternFill patternType="none">
          <bgColor auto="1"/>
        </patternFill>
      </fill>
    </dxf>
    <dxf>
      <font>
        <b/>
        <i val="0"/>
      </font>
      <fill>
        <patternFill>
          <bgColor rgb="FFFFC000"/>
        </patternFill>
      </fill>
    </dxf>
    <dxf>
      <font>
        <b/>
        <i val="0"/>
        <color theme="0"/>
      </font>
      <fill>
        <patternFill>
          <bgColor rgb="FF7030A0"/>
        </patternFill>
      </fill>
    </dxf>
    <dxf>
      <font>
        <b/>
        <i val="0"/>
        <color theme="1"/>
      </font>
      <fill>
        <patternFill>
          <bgColor rgb="FF00B050"/>
        </patternFill>
      </fill>
    </dxf>
    <dxf>
      <font>
        <color theme="0"/>
      </font>
      <fill>
        <patternFill>
          <bgColor rgb="FFFF0000"/>
        </patternFill>
      </fill>
    </dxf>
    <dxf>
      <font>
        <color rgb="FF9C0006"/>
      </font>
      <fill>
        <patternFill>
          <bgColor rgb="FFFFC7CE"/>
        </patternFill>
      </fill>
    </dxf>
    <dxf>
      <font>
        <b/>
        <i val="0"/>
        <color rgb="FF9C5700"/>
      </font>
      <fill>
        <patternFill>
          <bgColor rgb="FFFFEB9C"/>
        </patternFill>
      </fill>
    </dxf>
    <dxf>
      <font>
        <color rgb="FF006100"/>
      </font>
      <fill>
        <patternFill>
          <bgColor rgb="FFC6EFCE"/>
        </patternFill>
      </fill>
    </dxf>
    <dxf>
      <font>
        <b/>
        <i val="0"/>
        <color theme="0"/>
      </font>
      <fill>
        <patternFill>
          <bgColor rgb="FF2726DD"/>
        </patternFill>
      </fill>
    </dxf>
    <dxf>
      <fill>
        <patternFill>
          <bgColor theme="0" tint="-0.34998626667073579"/>
        </patternFill>
      </fill>
    </dxf>
    <dxf>
      <font>
        <b/>
        <i val="0"/>
        <color auto="1"/>
      </font>
      <fill>
        <patternFill patternType="none">
          <bgColor auto="1"/>
        </patternFill>
      </fill>
    </dxf>
    <dxf>
      <font>
        <color rgb="FF9C0006"/>
      </font>
      <fill>
        <patternFill>
          <bgColor rgb="FFFFC7CE"/>
        </patternFill>
      </fill>
    </dxf>
    <dxf>
      <font>
        <b/>
        <i val="0"/>
        <color rgb="FF9C5700"/>
      </font>
      <fill>
        <patternFill>
          <bgColor rgb="FFFFEB9C"/>
        </patternFill>
      </fill>
    </dxf>
    <dxf>
      <font>
        <color rgb="FF006100"/>
      </font>
      <fill>
        <patternFill>
          <bgColor rgb="FFC6EFCE"/>
        </patternFill>
      </fill>
    </dxf>
    <dxf>
      <font>
        <b/>
        <i val="0"/>
        <color theme="0"/>
      </font>
      <fill>
        <patternFill>
          <bgColor rgb="FF2726DD"/>
        </patternFill>
      </fill>
    </dxf>
    <dxf>
      <fill>
        <patternFill>
          <bgColor theme="0" tint="-0.34998626667073579"/>
        </patternFill>
      </fill>
    </dxf>
    <dxf>
      <font>
        <b/>
        <i val="0"/>
        <color auto="1"/>
      </font>
      <fill>
        <patternFill patternType="none">
          <bgColor auto="1"/>
        </patternFill>
      </fill>
    </dxf>
    <dxf>
      <font>
        <b/>
        <i val="0"/>
      </font>
      <fill>
        <patternFill>
          <bgColor rgb="FFFF0000"/>
        </patternFill>
      </fill>
    </dxf>
    <dxf>
      <font>
        <color rgb="FF9C0006"/>
      </font>
      <fill>
        <patternFill>
          <bgColor rgb="FFFFC7CE"/>
        </patternFill>
      </fill>
    </dxf>
    <dxf>
      <font>
        <b/>
        <i val="0"/>
        <color rgb="FF9C5700"/>
      </font>
      <fill>
        <patternFill>
          <bgColor rgb="FFFFEB9C"/>
        </patternFill>
      </fill>
    </dxf>
    <dxf>
      <font>
        <color rgb="FF006100"/>
      </font>
      <fill>
        <patternFill>
          <bgColor rgb="FFC6EFCE"/>
        </patternFill>
      </fill>
    </dxf>
    <dxf>
      <font>
        <b/>
        <i val="0"/>
        <color theme="0"/>
      </font>
      <fill>
        <patternFill>
          <bgColor rgb="FF2726DD"/>
        </patternFill>
      </fill>
    </dxf>
    <dxf>
      <fill>
        <patternFill>
          <bgColor theme="0" tint="-0.34998626667073579"/>
        </patternFill>
      </fill>
    </dxf>
    <dxf>
      <font>
        <b/>
        <i val="0"/>
        <color auto="1"/>
      </font>
      <fill>
        <patternFill patternType="none">
          <bgColor auto="1"/>
        </patternFill>
      </fill>
    </dxf>
    <dxf>
      <font>
        <b/>
        <i val="0"/>
        <color theme="0"/>
      </font>
      <fill>
        <patternFill>
          <bgColor rgb="FF00B050"/>
        </patternFill>
      </fill>
    </dxf>
    <dxf>
      <font>
        <b/>
        <i val="0"/>
        <color theme="0"/>
      </font>
      <fill>
        <patternFill>
          <bgColor theme="7"/>
        </patternFill>
      </fill>
    </dxf>
    <dxf>
      <font>
        <b/>
        <i val="0"/>
        <color theme="0"/>
      </font>
      <fill>
        <patternFill>
          <bgColor rgb="FFFF0000"/>
        </patternFill>
      </fill>
    </dxf>
    <dxf>
      <font>
        <b/>
        <i val="0"/>
        <color theme="0"/>
      </font>
      <fill>
        <patternFill>
          <bgColor theme="0" tint="-0.3499862666707357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24994659260841701"/>
        </patternFill>
      </fill>
    </dxf>
    <dxf>
      <fill>
        <patternFill>
          <bgColor theme="8"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s>
</file>

<file path=xl/documenttasks/documenttask1.xml><?xml version="1.0" encoding="utf-8"?>
<Tasks xmlns="http://schemas.microsoft.com/office/tasks/2019/documenttasks">
  <Task id="{A1728DF4-0D3D-4818-9BB7-2EB14B4E46DB}">
    <Anchor>
      <Comment id="{0CFE7CB2-E340-4902-B850-B68999CC1383}"/>
    </Anchor>
    <History>
      <Event time="2025-11-19T13:15:57.68" id="{9137BBFF-26EF-4EB9-9100-F65B5335740E}">
        <Attribution userId="S::christy.purser@aciworldwide.com::42f48592-df46-40cf-8e0e-403a51da9711" userName="Purser, Christy" userProvider="AD"/>
        <Anchor>
          <Comment id="{0CFE7CB2-E340-4902-B850-B68999CC1383}"/>
        </Anchor>
        <Create/>
      </Event>
      <Event time="2025-11-19T13:15:57.68" id="{01D2C238-7A73-4B99-92DE-20BA9B1B3D11}">
        <Attribution userId="S::christy.purser@aciworldwide.com::42f48592-df46-40cf-8e0e-403a51da9711" userName="Purser, Christy" userProvider="AD"/>
        <Anchor>
          <Comment id="{0CFE7CB2-E340-4902-B850-B68999CC1383}"/>
        </Anchor>
        <Assign userId="S::lolita.florence@aciworldwide.com::0278d0e2-3797-4b5b-80d7-cf2c2fd8077f" userName="Florence, Lolita" userProvider="AD"/>
      </Event>
      <Event time="2025-11-19T13:15:57.68" id="{ECC360F9-9E7F-42A7-820E-EDE37AC38180}">
        <Attribution userId="S::christy.purser@aciworldwide.com::42f48592-df46-40cf-8e0e-403a51da9711" userName="Purser, Christy" userProvider="AD"/>
        <Anchor>
          <Comment id="{0CFE7CB2-E340-4902-B850-B68999CC1383}"/>
        </Anchor>
        <SetTitle title="@Florence, Lolita How can Kevin be our on call support person if he is traveling? Thanks!"/>
      </Event>
    </History>
  </Task>
</Tasks>
</file>

<file path=xl/drawings/_rels/drawing1.xml.rels><?xml version="1.0" encoding="UTF-8" standalone="yes"?>
<Relationships xmlns="http://schemas.openxmlformats.org/package/2006/relationships"><Relationship Id="rId8" Type="http://schemas.openxmlformats.org/officeDocument/2006/relationships/customXml" Target="../ink/ink4.xml"/><Relationship Id="rId13" Type="http://schemas.openxmlformats.org/officeDocument/2006/relationships/image" Target="../media/image7.png"/><Relationship Id="rId3" Type="http://schemas.openxmlformats.org/officeDocument/2006/relationships/image" Target="../media/image20.png"/><Relationship Id="rId7" Type="http://schemas.openxmlformats.org/officeDocument/2006/relationships/image" Target="../media/image4.png"/><Relationship Id="rId12" Type="http://schemas.openxmlformats.org/officeDocument/2006/relationships/customXml" Target="../ink/ink6.xml"/><Relationship Id="rId17" Type="http://schemas.openxmlformats.org/officeDocument/2006/relationships/image" Target="../media/image9.png"/><Relationship Id="rId2" Type="http://schemas.openxmlformats.org/officeDocument/2006/relationships/customXml" Target="../ink/ink1.xml"/><Relationship Id="rId16" Type="http://schemas.openxmlformats.org/officeDocument/2006/relationships/customXml" Target="../ink/ink8.xml"/><Relationship Id="rId1" Type="http://schemas.openxmlformats.org/officeDocument/2006/relationships/image" Target="../media/image1.png"/><Relationship Id="rId6" Type="http://schemas.openxmlformats.org/officeDocument/2006/relationships/customXml" Target="../ink/ink3.xml"/><Relationship Id="rId11" Type="http://schemas.openxmlformats.org/officeDocument/2006/relationships/image" Target="../media/image6.png"/><Relationship Id="rId5" Type="http://schemas.openxmlformats.org/officeDocument/2006/relationships/image" Target="../media/image3.png"/><Relationship Id="rId15" Type="http://schemas.openxmlformats.org/officeDocument/2006/relationships/image" Target="../media/image8.png"/><Relationship Id="rId10" Type="http://schemas.openxmlformats.org/officeDocument/2006/relationships/customXml" Target="../ink/ink5.xml"/><Relationship Id="rId4" Type="http://schemas.openxmlformats.org/officeDocument/2006/relationships/customXml" Target="../ink/ink2.xml"/><Relationship Id="rId9" Type="http://schemas.openxmlformats.org/officeDocument/2006/relationships/image" Target="../media/image5.png"/><Relationship Id="rId14" Type="http://schemas.openxmlformats.org/officeDocument/2006/relationships/customXml" Target="../ink/ink7.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526846</xdr:colOff>
      <xdr:row>56</xdr:row>
      <xdr:rowOff>158750</xdr:rowOff>
    </xdr:from>
    <xdr:to>
      <xdr:col>1</xdr:col>
      <xdr:colOff>8223046</xdr:colOff>
      <xdr:row>83</xdr:row>
      <xdr:rowOff>47054</xdr:rowOff>
    </xdr:to>
    <xdr:pic>
      <xdr:nvPicPr>
        <xdr:cNvPr id="2" name="Picture 1">
          <a:extLst>
            <a:ext uri="{FF2B5EF4-FFF2-40B4-BE49-F238E27FC236}">
              <a16:creationId xmlns:a16="http://schemas.microsoft.com/office/drawing/2014/main" id="{FD393ED0-C0D0-1088-A2EF-B69B476037E9}"/>
            </a:ext>
          </a:extLst>
        </xdr:cNvPr>
        <xdr:cNvPicPr>
          <a:picLocks noChangeAspect="1"/>
        </xdr:cNvPicPr>
      </xdr:nvPicPr>
      <xdr:blipFill>
        <a:blip xmlns:r="http://schemas.openxmlformats.org/officeDocument/2006/relationships" r:embed="rId1"/>
        <a:stretch>
          <a:fillRect/>
        </a:stretch>
      </xdr:blipFill>
      <xdr:spPr>
        <a:xfrm>
          <a:off x="1136241" y="11045927"/>
          <a:ext cx="7696200" cy="4865885"/>
        </a:xfrm>
        <a:prstGeom prst="rect">
          <a:avLst/>
        </a:prstGeom>
      </xdr:spPr>
    </xdr:pic>
    <xdr:clientData/>
  </xdr:twoCellAnchor>
  <xdr:twoCellAnchor editAs="oneCell">
    <xdr:from>
      <xdr:col>1</xdr:col>
      <xdr:colOff>2006618</xdr:colOff>
      <xdr:row>70</xdr:row>
      <xdr:rowOff>80991</xdr:rowOff>
    </xdr:from>
    <xdr:to>
      <xdr:col>1</xdr:col>
      <xdr:colOff>3072218</xdr:colOff>
      <xdr:row>76</xdr:row>
      <xdr:rowOff>37311</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4" name="Ink 3">
              <a:extLst>
                <a:ext uri="{FF2B5EF4-FFF2-40B4-BE49-F238E27FC236}">
                  <a16:creationId xmlns:a16="http://schemas.microsoft.com/office/drawing/2014/main" id="{08BC5E34-21BF-ECAA-975D-52E761C93CE2}"/>
                </a:ext>
              </a:extLst>
            </xdr14:cNvPr>
            <xdr14:cNvContentPartPr/>
          </xdr14:nvContentPartPr>
          <xdr14:nvPr macro=""/>
          <xdr14:xfrm>
            <a:off x="2616013" y="13549136"/>
            <a:ext cx="1065600" cy="1062449"/>
          </xdr14:xfrm>
        </xdr:contentPart>
      </mc:Choice>
      <mc:Fallback xmlns="">
        <xdr:pic>
          <xdr:nvPicPr>
            <xdr:cNvPr id="4" name="Ink 3">
              <a:extLst>
                <a:ext uri="{FF2B5EF4-FFF2-40B4-BE49-F238E27FC236}">
                  <a16:creationId xmlns:a16="http://schemas.microsoft.com/office/drawing/2014/main" id="{08BC5E34-21BF-ECAA-975D-52E761C93CE2}"/>
                </a:ext>
              </a:extLst>
            </xdr:cNvPr>
            <xdr:cNvPicPr/>
          </xdr:nvPicPr>
          <xdr:blipFill>
            <a:blip xmlns:r="http://schemas.openxmlformats.org/officeDocument/2006/relationships" r:embed="rId3"/>
            <a:stretch>
              <a:fillRect/>
            </a:stretch>
          </xdr:blipFill>
          <xdr:spPr>
            <a:xfrm>
              <a:off x="2609893" y="13543036"/>
              <a:ext cx="1077840" cy="1074649"/>
            </a:xfrm>
            <a:prstGeom prst="rect">
              <a:avLst/>
            </a:prstGeom>
          </xdr:spPr>
        </xdr:pic>
      </mc:Fallback>
    </mc:AlternateContent>
    <xdr:clientData/>
  </xdr:twoCellAnchor>
  <xdr:twoCellAnchor editAs="oneCell">
    <xdr:from>
      <xdr:col>1</xdr:col>
      <xdr:colOff>5339417</xdr:colOff>
      <xdr:row>70</xdr:row>
      <xdr:rowOff>171422</xdr:rowOff>
    </xdr:from>
    <xdr:to>
      <xdr:col>1</xdr:col>
      <xdr:colOff>5601497</xdr:colOff>
      <xdr:row>73</xdr:row>
      <xdr:rowOff>35646</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 name="Ink 7">
              <a:extLst>
                <a:ext uri="{FF2B5EF4-FFF2-40B4-BE49-F238E27FC236}">
                  <a16:creationId xmlns:a16="http://schemas.microsoft.com/office/drawing/2014/main" id="{101B36FB-FF16-3C74-A272-92C9959CBCF2}"/>
                </a:ext>
              </a:extLst>
            </xdr14:cNvPr>
            <xdr14:cNvContentPartPr/>
          </xdr14:nvContentPartPr>
          <xdr14:nvPr macro=""/>
          <xdr14:xfrm>
            <a:off x="5948812" y="13639567"/>
            <a:ext cx="262080" cy="417289"/>
          </xdr14:xfrm>
        </xdr:contentPart>
      </mc:Choice>
      <mc:Fallback xmlns="">
        <xdr:pic>
          <xdr:nvPicPr>
            <xdr:cNvPr id="8" name="Ink 7">
              <a:extLst>
                <a:ext uri="{FF2B5EF4-FFF2-40B4-BE49-F238E27FC236}">
                  <a16:creationId xmlns:a16="http://schemas.microsoft.com/office/drawing/2014/main" id="{101B36FB-FF16-3C74-A272-92C9959CBCF2}"/>
                </a:ext>
              </a:extLst>
            </xdr:cNvPr>
            <xdr:cNvPicPr/>
          </xdr:nvPicPr>
          <xdr:blipFill>
            <a:blip xmlns:r="http://schemas.openxmlformats.org/officeDocument/2006/relationships" r:embed="rId5"/>
            <a:stretch>
              <a:fillRect/>
            </a:stretch>
          </xdr:blipFill>
          <xdr:spPr>
            <a:xfrm>
              <a:off x="5942692" y="13633441"/>
              <a:ext cx="274320" cy="429541"/>
            </a:xfrm>
            <a:prstGeom prst="rect">
              <a:avLst/>
            </a:prstGeom>
          </xdr:spPr>
        </xdr:pic>
      </mc:Fallback>
    </mc:AlternateContent>
    <xdr:clientData/>
  </xdr:twoCellAnchor>
  <xdr:twoCellAnchor editAs="oneCell">
    <xdr:from>
      <xdr:col>1</xdr:col>
      <xdr:colOff>4979724</xdr:colOff>
      <xdr:row>67</xdr:row>
      <xdr:rowOff>79662</xdr:rowOff>
    </xdr:from>
    <xdr:to>
      <xdr:col>1</xdr:col>
      <xdr:colOff>5368524</xdr:colOff>
      <xdr:row>69</xdr:row>
      <xdr:rowOff>100523</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10" name="Ink 9">
              <a:extLst>
                <a:ext uri="{FF2B5EF4-FFF2-40B4-BE49-F238E27FC236}">
                  <a16:creationId xmlns:a16="http://schemas.microsoft.com/office/drawing/2014/main" id="{6A36A6DE-EC25-7C5E-87AF-ED1DD0EA8E89}"/>
                </a:ext>
              </a:extLst>
            </xdr14:cNvPr>
            <xdr14:cNvContentPartPr/>
          </xdr14:nvContentPartPr>
          <xdr14:nvPr macro=""/>
          <xdr14:xfrm>
            <a:off x="5589119" y="12994743"/>
            <a:ext cx="388800" cy="389570"/>
          </xdr14:xfrm>
        </xdr:contentPart>
      </mc:Choice>
      <mc:Fallback xmlns="">
        <xdr:pic>
          <xdr:nvPicPr>
            <xdr:cNvPr id="10" name="Ink 9">
              <a:extLst>
                <a:ext uri="{FF2B5EF4-FFF2-40B4-BE49-F238E27FC236}">
                  <a16:creationId xmlns:a16="http://schemas.microsoft.com/office/drawing/2014/main" id="{6A36A6DE-EC25-7C5E-87AF-ED1DD0EA8E89}"/>
                </a:ext>
              </a:extLst>
            </xdr:cNvPr>
            <xdr:cNvPicPr/>
          </xdr:nvPicPr>
          <xdr:blipFill>
            <a:blip xmlns:r="http://schemas.openxmlformats.org/officeDocument/2006/relationships" r:embed="rId7"/>
            <a:stretch>
              <a:fillRect/>
            </a:stretch>
          </xdr:blipFill>
          <xdr:spPr>
            <a:xfrm>
              <a:off x="5582999" y="12988617"/>
              <a:ext cx="401040" cy="401823"/>
            </a:xfrm>
            <a:prstGeom prst="rect">
              <a:avLst/>
            </a:prstGeom>
          </xdr:spPr>
        </xdr:pic>
      </mc:Fallback>
    </mc:AlternateContent>
    <xdr:clientData/>
  </xdr:twoCellAnchor>
  <xdr:twoCellAnchor editAs="oneCell">
    <xdr:from>
      <xdr:col>1</xdr:col>
      <xdr:colOff>3090804</xdr:colOff>
      <xdr:row>67</xdr:row>
      <xdr:rowOff>48576</xdr:rowOff>
    </xdr:from>
    <xdr:to>
      <xdr:col>1</xdr:col>
      <xdr:colOff>3776604</xdr:colOff>
      <xdr:row>69</xdr:row>
      <xdr:rowOff>178362</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4" name="Ink 13">
              <a:extLst>
                <a:ext uri="{FF2B5EF4-FFF2-40B4-BE49-F238E27FC236}">
                  <a16:creationId xmlns:a16="http://schemas.microsoft.com/office/drawing/2014/main" id="{D36976FD-E418-4FF7-C20B-D93D655AB108}"/>
                </a:ext>
              </a:extLst>
            </xdr14:cNvPr>
            <xdr14:cNvContentPartPr/>
          </xdr14:nvContentPartPr>
          <xdr14:nvPr macro=""/>
          <xdr14:xfrm>
            <a:off x="3700199" y="12963657"/>
            <a:ext cx="685800" cy="498495"/>
          </xdr14:xfrm>
        </xdr:contentPart>
      </mc:Choice>
      <mc:Fallback xmlns="">
        <xdr:pic>
          <xdr:nvPicPr>
            <xdr:cNvPr id="14" name="Ink 13">
              <a:extLst>
                <a:ext uri="{FF2B5EF4-FFF2-40B4-BE49-F238E27FC236}">
                  <a16:creationId xmlns:a16="http://schemas.microsoft.com/office/drawing/2014/main" id="{D36976FD-E418-4FF7-C20B-D93D655AB108}"/>
                </a:ext>
              </a:extLst>
            </xdr:cNvPr>
            <xdr:cNvPicPr/>
          </xdr:nvPicPr>
          <xdr:blipFill>
            <a:blip xmlns:r="http://schemas.openxmlformats.org/officeDocument/2006/relationships" r:embed="rId9"/>
            <a:stretch>
              <a:fillRect/>
            </a:stretch>
          </xdr:blipFill>
          <xdr:spPr>
            <a:xfrm>
              <a:off x="3694079" y="12957529"/>
              <a:ext cx="698040" cy="510750"/>
            </a:xfrm>
            <a:prstGeom prst="rect">
              <a:avLst/>
            </a:prstGeom>
          </xdr:spPr>
        </xdr:pic>
      </mc:Fallback>
    </mc:AlternateContent>
    <xdr:clientData/>
  </xdr:twoCellAnchor>
  <xdr:twoCellAnchor editAs="oneCell">
    <xdr:from>
      <xdr:col>1</xdr:col>
      <xdr:colOff>2685840</xdr:colOff>
      <xdr:row>51</xdr:row>
      <xdr:rowOff>18890</xdr:rowOff>
    </xdr:from>
    <xdr:to>
      <xdr:col>1</xdr:col>
      <xdr:colOff>2687280</xdr:colOff>
      <xdr:row>51</xdr:row>
      <xdr:rowOff>19250</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6" name="Ink 15">
              <a:extLst>
                <a:ext uri="{FF2B5EF4-FFF2-40B4-BE49-F238E27FC236}">
                  <a16:creationId xmlns:a16="http://schemas.microsoft.com/office/drawing/2014/main" id="{A71A8C0F-4ADC-BF2A-FDE0-CA6669179037}"/>
                </a:ext>
              </a:extLst>
            </xdr14:cNvPr>
            <xdr14:cNvContentPartPr/>
          </xdr14:nvContentPartPr>
          <xdr14:nvPr macro=""/>
          <xdr14:xfrm>
            <a:off x="3295440" y="9975690"/>
            <a:ext cx="1440" cy="360"/>
          </xdr14:xfrm>
        </xdr:contentPart>
      </mc:Choice>
      <mc:Fallback xmlns="">
        <xdr:pic>
          <xdr:nvPicPr>
            <xdr:cNvPr id="16" name="Ink 15">
              <a:extLst>
                <a:ext uri="{FF2B5EF4-FFF2-40B4-BE49-F238E27FC236}">
                  <a16:creationId xmlns:a16="http://schemas.microsoft.com/office/drawing/2014/main" id="{A71A8C0F-4ADC-BF2A-FDE0-CA6669179037}"/>
                </a:ext>
              </a:extLst>
            </xdr:cNvPr>
            <xdr:cNvPicPr/>
          </xdr:nvPicPr>
          <xdr:blipFill>
            <a:blip xmlns:r="http://schemas.openxmlformats.org/officeDocument/2006/relationships" r:embed="rId11"/>
            <a:stretch>
              <a:fillRect/>
            </a:stretch>
          </xdr:blipFill>
          <xdr:spPr>
            <a:xfrm>
              <a:off x="3289320" y="9969570"/>
              <a:ext cx="13680" cy="12600"/>
            </a:xfrm>
            <a:prstGeom prst="rect">
              <a:avLst/>
            </a:prstGeom>
          </xdr:spPr>
        </xdr:pic>
      </mc:Fallback>
    </mc:AlternateContent>
    <xdr:clientData/>
  </xdr:twoCellAnchor>
  <xdr:twoCellAnchor editAs="oneCell">
    <xdr:from>
      <xdr:col>1</xdr:col>
      <xdr:colOff>3079680</xdr:colOff>
      <xdr:row>42</xdr:row>
      <xdr:rowOff>123010</xdr:rowOff>
    </xdr:from>
    <xdr:to>
      <xdr:col>1</xdr:col>
      <xdr:colOff>3080040</xdr:colOff>
      <xdr:row>42</xdr:row>
      <xdr:rowOff>139930</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7" name="Ink 16">
              <a:extLst>
                <a:ext uri="{FF2B5EF4-FFF2-40B4-BE49-F238E27FC236}">
                  <a16:creationId xmlns:a16="http://schemas.microsoft.com/office/drawing/2014/main" id="{B989C3DD-61DC-E3C2-0888-BCC8EDCFF72A}"/>
                </a:ext>
              </a:extLst>
            </xdr14:cNvPr>
            <xdr14:cNvContentPartPr/>
          </xdr14:nvContentPartPr>
          <xdr14:nvPr macro=""/>
          <xdr14:xfrm>
            <a:off x="3689280" y="8606610"/>
            <a:ext cx="360" cy="16920"/>
          </xdr14:xfrm>
        </xdr:contentPart>
      </mc:Choice>
      <mc:Fallback xmlns="">
        <xdr:pic>
          <xdr:nvPicPr>
            <xdr:cNvPr id="17" name="Ink 16">
              <a:extLst>
                <a:ext uri="{FF2B5EF4-FFF2-40B4-BE49-F238E27FC236}">
                  <a16:creationId xmlns:a16="http://schemas.microsoft.com/office/drawing/2014/main" id="{B989C3DD-61DC-E3C2-0888-BCC8EDCFF72A}"/>
                </a:ext>
              </a:extLst>
            </xdr:cNvPr>
            <xdr:cNvPicPr/>
          </xdr:nvPicPr>
          <xdr:blipFill>
            <a:blip xmlns:r="http://schemas.openxmlformats.org/officeDocument/2006/relationships" r:embed="rId13"/>
            <a:stretch>
              <a:fillRect/>
            </a:stretch>
          </xdr:blipFill>
          <xdr:spPr>
            <a:xfrm>
              <a:off x="3683160" y="8600490"/>
              <a:ext cx="12600" cy="29160"/>
            </a:xfrm>
            <a:prstGeom prst="rect">
              <a:avLst/>
            </a:prstGeom>
          </xdr:spPr>
        </xdr:pic>
      </mc:Fallback>
    </mc:AlternateContent>
    <xdr:clientData/>
  </xdr:twoCellAnchor>
  <xdr:twoCellAnchor editAs="oneCell">
    <xdr:from>
      <xdr:col>1</xdr:col>
      <xdr:colOff>4108200</xdr:colOff>
      <xdr:row>38</xdr:row>
      <xdr:rowOff>171210</xdr:rowOff>
    </xdr:from>
    <xdr:to>
      <xdr:col>1</xdr:col>
      <xdr:colOff>4115040</xdr:colOff>
      <xdr:row>39</xdr:row>
      <xdr:rowOff>380</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20" name="Ink 19">
              <a:extLst>
                <a:ext uri="{FF2B5EF4-FFF2-40B4-BE49-F238E27FC236}">
                  <a16:creationId xmlns:a16="http://schemas.microsoft.com/office/drawing/2014/main" id="{A6452A97-78DB-77AF-F327-D735FFB51EE3}"/>
                </a:ext>
              </a:extLst>
            </xdr14:cNvPr>
            <xdr14:cNvContentPartPr/>
          </xdr14:nvContentPartPr>
          <xdr14:nvPr macro=""/>
          <xdr14:xfrm>
            <a:off x="4717800" y="9391410"/>
            <a:ext cx="6840" cy="13320"/>
          </xdr14:xfrm>
        </xdr:contentPart>
      </mc:Choice>
      <mc:Fallback xmlns="">
        <xdr:pic>
          <xdr:nvPicPr>
            <xdr:cNvPr id="20" name="Ink 19">
              <a:extLst>
                <a:ext uri="{FF2B5EF4-FFF2-40B4-BE49-F238E27FC236}">
                  <a16:creationId xmlns:a16="http://schemas.microsoft.com/office/drawing/2014/main" id="{A6452A97-78DB-77AF-F327-D735FFB51EE3}"/>
                </a:ext>
              </a:extLst>
            </xdr:cNvPr>
            <xdr:cNvPicPr/>
          </xdr:nvPicPr>
          <xdr:blipFill>
            <a:blip xmlns:r="http://schemas.openxmlformats.org/officeDocument/2006/relationships" r:embed="rId15"/>
            <a:stretch>
              <a:fillRect/>
            </a:stretch>
          </xdr:blipFill>
          <xdr:spPr>
            <a:xfrm>
              <a:off x="4711680" y="9385290"/>
              <a:ext cx="19080" cy="25560"/>
            </a:xfrm>
            <a:prstGeom prst="rect">
              <a:avLst/>
            </a:prstGeom>
          </xdr:spPr>
        </xdr:pic>
      </mc:Fallback>
    </mc:AlternateContent>
    <xdr:clientData/>
  </xdr:twoCellAnchor>
  <xdr:twoCellAnchor editAs="oneCell">
    <xdr:from>
      <xdr:col>1</xdr:col>
      <xdr:colOff>8838960</xdr:colOff>
      <xdr:row>55</xdr:row>
      <xdr:rowOff>101390</xdr:rowOff>
    </xdr:from>
    <xdr:to>
      <xdr:col>1</xdr:col>
      <xdr:colOff>8839320</xdr:colOff>
      <xdr:row>55</xdr:row>
      <xdr:rowOff>101750</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21" name="Ink 20">
              <a:extLst>
                <a:ext uri="{FF2B5EF4-FFF2-40B4-BE49-F238E27FC236}">
                  <a16:creationId xmlns:a16="http://schemas.microsoft.com/office/drawing/2014/main" id="{AC3CB1D3-C6A3-2B04-853F-047A19241AA5}"/>
                </a:ext>
              </a:extLst>
            </xdr14:cNvPr>
            <xdr14:cNvContentPartPr/>
          </xdr14:nvContentPartPr>
          <xdr14:nvPr macro=""/>
          <xdr14:xfrm>
            <a:off x="9448560" y="8953290"/>
            <a:ext cx="360" cy="360"/>
          </xdr14:xfrm>
        </xdr:contentPart>
      </mc:Choice>
      <mc:Fallback xmlns="">
        <xdr:pic>
          <xdr:nvPicPr>
            <xdr:cNvPr id="21" name="Ink 20">
              <a:extLst>
                <a:ext uri="{FF2B5EF4-FFF2-40B4-BE49-F238E27FC236}">
                  <a16:creationId xmlns:a16="http://schemas.microsoft.com/office/drawing/2014/main" id="{AC3CB1D3-C6A3-2B04-853F-047A19241AA5}"/>
                </a:ext>
              </a:extLst>
            </xdr:cNvPr>
            <xdr:cNvPicPr/>
          </xdr:nvPicPr>
          <xdr:blipFill>
            <a:blip xmlns:r="http://schemas.openxmlformats.org/officeDocument/2006/relationships" r:embed="rId17"/>
            <a:stretch>
              <a:fillRect/>
            </a:stretch>
          </xdr:blipFill>
          <xdr:spPr>
            <a:xfrm>
              <a:off x="9442440" y="8947170"/>
              <a:ext cx="12600" cy="12600"/>
            </a:xfrm>
            <a:prstGeom prst="rect">
              <a:avLst/>
            </a:prstGeom>
          </xdr:spPr>
        </xdr:pic>
      </mc:Fallback>
    </mc:AlternateContent>
    <xdr:clientData/>
  </xdr:twoCellAnchor>
  <xdr:twoCellAnchor>
    <xdr:from>
      <xdr:col>1</xdr:col>
      <xdr:colOff>2595562</xdr:colOff>
      <xdr:row>67</xdr:row>
      <xdr:rowOff>71438</xdr:rowOff>
    </xdr:from>
    <xdr:to>
      <xdr:col>1</xdr:col>
      <xdr:colOff>2909887</xdr:colOff>
      <xdr:row>71</xdr:row>
      <xdr:rowOff>185738</xdr:rowOff>
    </xdr:to>
    <xdr:sp macro="" textlink="">
      <xdr:nvSpPr>
        <xdr:cNvPr id="3" name="TextBox 2">
          <a:extLst>
            <a:ext uri="{FF2B5EF4-FFF2-40B4-BE49-F238E27FC236}">
              <a16:creationId xmlns:a16="http://schemas.microsoft.com/office/drawing/2014/main" id="{7568996A-34AA-DD23-B8C8-A7C69ACCACD6}"/>
            </a:ext>
            <a:ext uri="{147F2762-F138-4A5C-976F-8EAC2B608ADB}">
              <a16:predDERef xmlns:a16="http://schemas.microsoft.com/office/drawing/2014/main" pred="{AC3CB1D3-C6A3-2B04-853F-047A19241AA5}"/>
            </a:ext>
          </a:extLst>
        </xdr:cNvPr>
        <xdr:cNvSpPr txBox="1"/>
      </xdr:nvSpPr>
      <xdr:spPr>
        <a:xfrm rot="16200000">
          <a:off x="2924175" y="14249400"/>
          <a:ext cx="876300" cy="3143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800" b="1" i="0" u="none" strike="noStrike">
              <a:solidFill>
                <a:srgbClr val="0070C0"/>
              </a:solidFill>
              <a:latin typeface="+mn-lt"/>
              <a:ea typeface="+mn-lt"/>
              <a:cs typeface="+mn-lt"/>
            </a:rPr>
            <a:t>Command Center - MARS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400050</xdr:colOff>
      <xdr:row>57</xdr:row>
      <xdr:rowOff>57151</xdr:rowOff>
    </xdr:from>
    <xdr:to>
      <xdr:col>2</xdr:col>
      <xdr:colOff>647700</xdr:colOff>
      <xdr:row>57</xdr:row>
      <xdr:rowOff>309564</xdr:rowOff>
    </xdr:to>
    <xdr:sp macro="" textlink="">
      <xdr:nvSpPr>
        <xdr:cNvPr id="2" name="Arrow: Up 6">
          <a:extLst>
            <a:ext uri="{FF2B5EF4-FFF2-40B4-BE49-F238E27FC236}">
              <a16:creationId xmlns:a16="http://schemas.microsoft.com/office/drawing/2014/main" id="{633C2A46-F766-4017-BD2D-F39DD0B61A9A}"/>
            </a:ext>
            <a:ext uri="{147F2762-F138-4A5C-976F-8EAC2B608ADB}">
              <a16:predDERef xmlns:a16="http://schemas.microsoft.com/office/drawing/2014/main" pred="{B2A5C93D-3F96-4676-8534-339590C7746F}"/>
            </a:ext>
          </a:extLst>
        </xdr:cNvPr>
        <xdr:cNvSpPr/>
      </xdr:nvSpPr>
      <xdr:spPr>
        <a:xfrm rot="5400000">
          <a:off x="3683793" y="18137983"/>
          <a:ext cx="252413" cy="247650"/>
        </a:xfrm>
        <a:prstGeom prst="upArrow">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400050</xdr:colOff>
      <xdr:row>61</xdr:row>
      <xdr:rowOff>38101</xdr:rowOff>
    </xdr:from>
    <xdr:to>
      <xdr:col>2</xdr:col>
      <xdr:colOff>647700</xdr:colOff>
      <xdr:row>61</xdr:row>
      <xdr:rowOff>290514</xdr:rowOff>
    </xdr:to>
    <xdr:sp macro="" textlink="">
      <xdr:nvSpPr>
        <xdr:cNvPr id="3" name="Arrow: Up 7">
          <a:extLst>
            <a:ext uri="{FF2B5EF4-FFF2-40B4-BE49-F238E27FC236}">
              <a16:creationId xmlns:a16="http://schemas.microsoft.com/office/drawing/2014/main" id="{BBF607A4-13EA-403E-952E-36BDC2C945FF}"/>
            </a:ext>
            <a:ext uri="{147F2762-F138-4A5C-976F-8EAC2B608ADB}">
              <a16:predDERef xmlns:a16="http://schemas.microsoft.com/office/drawing/2014/main" pred="{633C2A46-F766-4017-BD2D-F39DD0B61A9A}"/>
            </a:ext>
          </a:extLst>
        </xdr:cNvPr>
        <xdr:cNvSpPr/>
      </xdr:nvSpPr>
      <xdr:spPr>
        <a:xfrm rot="5400000">
          <a:off x="3683793" y="19433383"/>
          <a:ext cx="252413" cy="247650"/>
        </a:xfrm>
        <a:prstGeom prst="upArrow">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409575</xdr:colOff>
      <xdr:row>54</xdr:row>
      <xdr:rowOff>28576</xdr:rowOff>
    </xdr:from>
    <xdr:to>
      <xdr:col>2</xdr:col>
      <xdr:colOff>657225</xdr:colOff>
      <xdr:row>54</xdr:row>
      <xdr:rowOff>280989</xdr:rowOff>
    </xdr:to>
    <xdr:sp macro="" textlink="">
      <xdr:nvSpPr>
        <xdr:cNvPr id="4" name="Arrow: Up 8">
          <a:extLst>
            <a:ext uri="{FF2B5EF4-FFF2-40B4-BE49-F238E27FC236}">
              <a16:creationId xmlns:a16="http://schemas.microsoft.com/office/drawing/2014/main" id="{8B99B7A8-84CE-411B-A991-49841AA0E56F}"/>
            </a:ext>
            <a:ext uri="{147F2762-F138-4A5C-976F-8EAC2B608ADB}">
              <a16:predDERef xmlns:a16="http://schemas.microsoft.com/office/drawing/2014/main" pred="{BBF607A4-13EA-403E-952E-36BDC2C945FF}"/>
            </a:ext>
          </a:extLst>
        </xdr:cNvPr>
        <xdr:cNvSpPr/>
      </xdr:nvSpPr>
      <xdr:spPr>
        <a:xfrm rot="5400000">
          <a:off x="3693318" y="16852108"/>
          <a:ext cx="252413" cy="247650"/>
        </a:xfrm>
        <a:prstGeom prst="upArrow">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387350</xdr:colOff>
      <xdr:row>53</xdr:row>
      <xdr:rowOff>69852</xdr:rowOff>
    </xdr:from>
    <xdr:to>
      <xdr:col>2</xdr:col>
      <xdr:colOff>635000</xdr:colOff>
      <xdr:row>53</xdr:row>
      <xdr:rowOff>265115</xdr:rowOff>
    </xdr:to>
    <xdr:sp macro="" textlink="">
      <xdr:nvSpPr>
        <xdr:cNvPr id="5" name="Arrow: Up 9">
          <a:extLst>
            <a:ext uri="{FF2B5EF4-FFF2-40B4-BE49-F238E27FC236}">
              <a16:creationId xmlns:a16="http://schemas.microsoft.com/office/drawing/2014/main" id="{21BD171A-9CEA-4EBD-ADD0-3D70355094AF}"/>
            </a:ext>
            <a:ext uri="{147F2762-F138-4A5C-976F-8EAC2B608ADB}">
              <a16:predDERef xmlns:a16="http://schemas.microsoft.com/office/drawing/2014/main" pred="{8B99B7A8-84CE-411B-A991-49841AA0E56F}"/>
            </a:ext>
          </a:extLst>
        </xdr:cNvPr>
        <xdr:cNvSpPr/>
      </xdr:nvSpPr>
      <xdr:spPr>
        <a:xfrm rot="5400000">
          <a:off x="3699668" y="16579059"/>
          <a:ext cx="195263" cy="247650"/>
        </a:xfrm>
        <a:prstGeom prst="upArrow">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390525</xdr:colOff>
      <xdr:row>58</xdr:row>
      <xdr:rowOff>82553</xdr:rowOff>
    </xdr:from>
    <xdr:to>
      <xdr:col>2</xdr:col>
      <xdr:colOff>638175</xdr:colOff>
      <xdr:row>58</xdr:row>
      <xdr:rowOff>334966</xdr:rowOff>
    </xdr:to>
    <xdr:sp macro="" textlink="">
      <xdr:nvSpPr>
        <xdr:cNvPr id="6" name="Arrow: Up 10">
          <a:extLst>
            <a:ext uri="{FF2B5EF4-FFF2-40B4-BE49-F238E27FC236}">
              <a16:creationId xmlns:a16="http://schemas.microsoft.com/office/drawing/2014/main" id="{6848C097-7286-49BB-A458-012B0C53D99C}"/>
            </a:ext>
            <a:ext uri="{147F2762-F138-4A5C-976F-8EAC2B608ADB}">
              <a16:predDERef xmlns:a16="http://schemas.microsoft.com/office/drawing/2014/main" pred="{21BD171A-9CEA-4EBD-ADD0-3D70355094AF}"/>
            </a:ext>
          </a:extLst>
        </xdr:cNvPr>
        <xdr:cNvSpPr/>
      </xdr:nvSpPr>
      <xdr:spPr>
        <a:xfrm rot="5400000">
          <a:off x="3674268" y="18534860"/>
          <a:ext cx="252413" cy="247650"/>
        </a:xfrm>
        <a:prstGeom prst="upArrow">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129208</xdr:rowOff>
    </xdr:from>
    <xdr:to>
      <xdr:col>2</xdr:col>
      <xdr:colOff>500684</xdr:colOff>
      <xdr:row>2</xdr:row>
      <xdr:rowOff>176833</xdr:rowOff>
    </xdr:to>
    <xdr:pic>
      <xdr:nvPicPr>
        <xdr:cNvPr id="2" name="Picture 1">
          <a:extLst>
            <a:ext uri="{FF2B5EF4-FFF2-40B4-BE49-F238E27FC236}">
              <a16:creationId xmlns:a16="http://schemas.microsoft.com/office/drawing/2014/main" id="{98387480-F93D-46FC-AA2A-93E8383BC705}"/>
            </a:ext>
          </a:extLst>
        </xdr:cNvPr>
        <xdr:cNvPicPr>
          <a:picLocks noChangeAspect="1"/>
        </xdr:cNvPicPr>
      </xdr:nvPicPr>
      <xdr:blipFill>
        <a:blip xmlns:r="http://schemas.openxmlformats.org/officeDocument/2006/relationships" r:embed="rId1"/>
        <a:stretch>
          <a:fillRect/>
        </a:stretch>
      </xdr:blipFill>
      <xdr:spPr>
        <a:xfrm>
          <a:off x="609600" y="700708"/>
          <a:ext cx="3224834" cy="628650"/>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4T18:44:21.302"/>
    </inkml:context>
    <inkml:brush xml:id="br0">
      <inkml:brushProperty name="width" value="0.035" units="cm"/>
      <inkml:brushProperty name="height" value="0.035" units="cm"/>
      <inkml:brushProperty name="color" value="#E71224"/>
    </inkml:brush>
  </inkml:definitions>
  <inkml:trace contextRef="#ctx0" brushRef="#br0">2959 1539 24478,'-1'62'0,"-3"-3"0,-2 2 0,-2-1 0,-2-1 0,-2-1 0,-3 2 0,-2-3 0,-2 0 0,-2-1 0,-2 0 0,-3-2 0,-1 0 0,-2-2 0,-3-1 0,-1-2 0,-2-1 0,-2-2 0,-1 1 0,-3-3 0,-1-3 0,-1-1 0,-2-2 0,-1-1 0,-2-2 0,-1-3 0,-1-2 0,-1-1 0,-2-3 0,0-2 0,-1-1 0,-1-3 0,0-3 0,-2-2 0,1-1 0,-2-4 0,1-1 0,-1-4 0,0-1 0,1-3 0,-1-2 0,0-3 0,0-1 0,1-4 0,-1-1 0,2-4 0,-1-1 0,2-2 0,0-3 0,1-3 0,1-1 0,0-2 0,2-3 0,1-1 0,1-2 0,1-3 0,2-2 0,1-1 0,2-2 0,1-1 0,1-3 0,3-3 0,1 1 0,2-2 0,2-1 0,1-2 0,3-1 0,2-2 0,1 0 0,3-2 0,2 0 0,2-1 0,2 0 0,2-3 0,3 2 0,2-1 0,2-1 0,2-1 0,2 2 0,3-3 0,2 2 0,3 0 0,2-1 0,2 1 0,2 2 0,2-1 0,3-1 0,2 3 0,2 0 0,2 1 0,2 0 0,3 1 0,1 2 0,2 1 0,3 1 0,1 2 0,2 1 0,2 1 0,1 1 0,3 2 0,1 3 0,1 1 0,2 2 0,1 1 0,2 2 0,1 3 0,1 2 0,1 0 0,2 4 0,0 3 0,1 0 0,1 3 0,0 3 0,2 2 0,-1 1 0,2 4 0,-1 1 0,1 4 0,0 1 0,0 3 0,-1 2 0,1 3 0,0 1 0,-1 4 0,1 1 0,-2 4 0,1 1 0,-2 2 0,0 3 0,-1 3 0,-1 0 0,0 3 0,-2 4 0,-1 0 0,-1 2 0,-1 3 0,-2 2 0,-1 1 0,-2 2 0,-1 1 0,-1 3 0,-3 2 0,-1 1 0,-2 1 0,-2 1 0,-1 2 0,-3 1 0,-2 1 0,-1 2 0,-3 1 0,-2 0 0,-2 1 0,-2 0 0,-2 3 0,-3-1 0,-2-1 0,-2 2 0,-2 1 0,-2-1 0,-3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4T18:44:32.581"/>
    </inkml:context>
    <inkml:brush xml:id="br0">
      <inkml:brushProperty name="width" value="0.035" units="cm"/>
      <inkml:brushProperty name="height" value="0.035" units="cm"/>
      <inkml:brushProperty name="color" value="#E71224"/>
    </inkml:brush>
  </inkml:definitions>
  <inkml:trace contextRef="#ctx0" brushRef="#br0">0 0 24482,'0'1223'0,"727"-1223"0,-727-1223 0,-727 1223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4T18:44:48.763"/>
    </inkml:context>
    <inkml:brush xml:id="br0">
      <inkml:brushProperty name="width" value="0.035" units="cm"/>
      <inkml:brushProperty name="height" value="0.035" units="cm"/>
      <inkml:brushProperty name="color" value="#E71224"/>
    </inkml:brush>
  </inkml:definitions>
  <inkml:trace contextRef="#ctx0" brushRef="#br0">1079 562 24496,'-1'22'0,"0"0"0,-1 0 0,-1-1 0,-1 1 0,0 0 0,-2 0 0,0-1 0,-1 0 0,0-1 0,-2 0 0,0-1 0,-1 2 0,-1-3 0,0 1 0,-1-1 0,-1 0 0,-1-1 0,0 0 0,0-1 0,-2-1 0,0 0 0,0-2 0,-1 1 0,0-2 0,-1 0 0,0-1 0,-1 0 0,0-2 0,0 0 0,-1 0 0,0-2 0,-1-1 0,1-1 0,-1 1 0,0-3 0,0 0 0,0-1 0,0 0 0,1-2 0,-1 0 0,0-2 0,0 0 0,0-1 0,0 0 0,0-3 0,1 1 0,-1-1 0,1-1 0,0-2 0,1 0 0,0 0 0,0-2 0,1 0 0,0-1 0,1 0 0,0-2 0,1 1 0,0-2 0,0 0 0,2-1 0,0-1 0,0 0 0,1-1 0,1 0 0,1-1 0,0 1 0,1-3 0,1 2 0,0-1 0,2 0 0,0-1 0,1 0 0,0-1 0,2 0 0,0 0 0,1 1 0,1-1 0,1 0 0,0 0 0,2 0 0,0 0 0,1-1 0,1 3 0,1-2 0,0 0 0,2 0 0,0 2 0,1-2 0,0 2 0,2 0 0,0 0 0,1 0 0,1 2 0,0-1 0,1 1 0,1 0 0,1 1 0,0 0 0,0 1 0,2 1 0,0 0 0,0 1 0,1 1 0,0 1 0,1 0 0,0 1 0,1 0 0,0 2 0,0 0 0,1 0 0,0 2 0,1 1 0,-1 1 0,1-1 0,0 3 0,0 0 0,0 1 0,0 0 0,0 2 0,-1 0 0,1 2 0,0 0 0,0 1 0,0 0 0,0 3 0,-1-1 0,1 1 0,-1 1 0,0 2 0,-1 0 0,0 0 0,0 2 0,-1 0 0,0 1 0,-1 0 0,0 1 0,-1 1 0,0 1 0,0 0 0,-2 1 0,0 1 0,0 0 0,-1 1 0,-1 0 0,-1 1 0,0-1 0,-1 2 0,-1 0 0,0 0 0,-2 0 0,0 2 0,-1-2 0,0 2 0,-2 0 0,0 0 0,-1-2 0,-1 3 0,-1-1 0,0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4T18:46:47.686"/>
    </inkml:context>
    <inkml:brush xml:id="br0">
      <inkml:brushProperty name="width" value="0.035" units="cm"/>
      <inkml:brushProperty name="height" value="0.035" units="cm"/>
      <inkml:brushProperty name="color" value="#E71224"/>
    </inkml:brush>
  </inkml:definitions>
  <inkml:trace contextRef="#ctx0" brushRef="#br0">1905 713 24482,'-1'28'0,"-1"1"0,-2-1 0,-1-1 0,-2 1 0,-1 0 0,-1-1 0,-2-1 0,-1 1 0,-2-1 0,-1-1 0,-1 1 0,-2-2 0,-1 0 0,-1 0 0,-1-1 0,-2-1 0,0 0 0,-2-1 0,-1-1 0,-1 0 0,-1-1 0,-1-2 0,-1 0 0,0-1 0,-2 0 0,0-3 0,-1 1 0,-1-2 0,0-1 0,-1 0 0,0-2 0,-1-2 0,0 0 0,-1 0 0,1-2 0,-1-1 0,-1-2 0,1 0 0,0-2 0,-1 0 0,1-2 0,0 0 0,0-2 0,0-1 0,0-2 0,1 0 0,0 0 0,1-2 0,0-2 0,1 0 0,0-1 0,2-2 0,-1 1 0,2-3 0,0 0 0,1-1 0,1 0 0,1-2 0,2-1 0,0 0 0,1-1 0,1-1 0,1 0 0,2-1 0,1-1 0,1 0 0,1 0 0,2-2 0,1 1 0,2-1 0,0-1 0,2 1 0,2-1 0,1-1 0,1 0 0,2 1 0,2-1 0,0-1 0,3 1 0,0 1 0,3-1 0,0 0 0,2 0 0,2 1 0,1-1 0,1 1 0,2 1 0,2-1 0,0 1 0,2 1 0,1-1 0,2 2 0,1-1 0,1 1 0,1 1 0,2 2 0,1-1 0,1 0 0,1 3 0,0-1 0,2 1 0,1 2 0,1-1 0,1 3 0,0-1 0,2 2 0,-1 1 0,2 1 0,0 1 0,1 0 0,0 2 0,1 1 0,0 1 0,1 1 0,0 1 0,0 1 0,0 1 0,0 2 0,1 0 0,-1 2 0,0 0 0,1 2 0,-1 1 0,-1 1 0,1 1 0,-1 1 0,0 1 0,-1 1 0,0 2 0,-1 0 0,0 1 0,-1 1 0,-1 1 0,0 2 0,-2-1 0,0 3 0,-1-1 0,-1 2 0,-1 1 0,-1-1 0,-1 3 0,-2 0 0,0-1 0,-2 2 0,-1 1 0,-1 1 0,-1-1 0,-2 2 0,-1-1 0,-1 1 0,-2 1 0,-1-1 0,-2 1 0,-1 1 0,-1-1 0,-2 1 0,-1 0 0,-2 0 0,-1-1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4T19:01:55.249"/>
    </inkml:context>
    <inkml:brush xml:id="br0">
      <inkml:brushProperty name="width" value="0.035" units="cm"/>
      <inkml:brushProperty name="height" value="0.035" units="cm"/>
      <inkml:brushProperty name="color" value="#E71224"/>
    </inkml:brush>
  </inkml:definitions>
  <inkml:trace contextRef="#ctx0" brushRef="#br0">0 0 24575,'3'0'0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4T19:21:33.746"/>
    </inkml:context>
    <inkml:brush xml:id="br0">
      <inkml:brushProperty name="width" value="0.035" units="cm"/>
      <inkml:brushProperty name="height" value="0.035" units="cm"/>
      <inkml:brushProperty name="color" value="#E71224"/>
    </inkml:brush>
  </inkml:definitions>
  <inkml:trace contextRef="#ctx0" brushRef="#br0">0 46 24575,'0'-3'0,"0"-4"0,0-10 0,0-1-8191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4T19:21:35.004"/>
    </inkml:context>
    <inkml:brush xml:id="br0">
      <inkml:brushProperty name="width" value="0.035" units="cm"/>
      <inkml:brushProperty name="height" value="0.035" units="cm"/>
      <inkml:brushProperty name="color" value="#E71224"/>
    </inkml:brush>
  </inkml:definitions>
  <inkml:trace contextRef="#ctx0" brushRef="#br0">18 36 24575,'0'-3'0</inkml:trace>
  <inkml:trace contextRef="#ctx0" brushRef="#br0" timeOffset="269.27">0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4T19:21:37.250"/>
    </inkml:context>
    <inkml:brush xml:id="br0">
      <inkml:brushProperty name="width" value="0.035" units="cm"/>
      <inkml:brushProperty name="height" value="0.035" units="cm"/>
      <inkml:brushProperty name="color" value="#E71224"/>
    </inkml:brush>
  </inkml:definitions>
  <inkml:trace contextRef="#ctx0" brushRef="#br0">1 0 24575,'0'0'-8191</inkml:trace>
</inkml:ink>
</file>

<file path=xl/persons/person.xml><?xml version="1.0" encoding="utf-8"?>
<personList xmlns="http://schemas.microsoft.com/office/spreadsheetml/2018/threadedcomments" xmlns:x="http://schemas.openxmlformats.org/spreadsheetml/2006/main">
  <person displayName="Florence, Lolita" id="{B2ED5962-DED0-4C77-91F6-BB7D43947675}" userId="lolita.florence@aciworldwide.com" providerId="PeoplePicker"/>
  <person displayName="Purser, Christy" id="{FAE21436-F77D-4865-B3CF-3D1BF02A3E9C}" userId="S::christy.purser@aciworldwide.com::42f48592-df46-40cf-8e0e-403a51da9711" providerId="AD"/>
  <person displayName="Florence, Lolita" id="{80A92ECD-F637-429C-B2EE-CF621B474715}" userId="S::lolita.florence@aciworldwide.com::0278d0e2-3797-4b5b-80d7-cf2c2fd8077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39AD7A1-C81E-4930-ACD7-D9D6F934EB31}" name="Table2" displayName="Table2" ref="B20:G30" totalsRowShown="0" headerRowDxfId="120" dataDxfId="119" headerRowBorderDxfId="117" tableBorderDxfId="118">
  <autoFilter ref="B20:G30" xr:uid="{839AD7A1-C81E-4930-ACD7-D9D6F934EB31}"/>
  <tableColumns count="6">
    <tableColumn id="1" xr3:uid="{5EB8BC04-3327-4FE3-84B4-B8D165048D2D}" name="Column1" dataDxfId="116"/>
    <tableColumn id="2" xr3:uid="{D0B96307-C7DF-450B-A22B-0C874147EAC9}" name="Status" dataDxfId="115"/>
    <tableColumn id="3" xr3:uid="{1439C741-D522-42DB-B738-36A248AC5B1E}" name="# Issues (P1)" dataDxfId="114"/>
    <tableColumn id="5" xr3:uid="{5AB7ED5A-72A0-4F2D-9929-2834ADADE793}" name="# Issues (P2)" dataDxfId="113"/>
    <tableColumn id="6" xr3:uid="{56A55648-CA01-4AB2-93C4-8ED41FF6A53C}" name="# Issues (P3)" dataDxfId="112"/>
    <tableColumn id="4" xr3:uid="{D36EAA7F-7834-4827-8A90-6540C2C399E3}" name="Last Check-In" dataDxfId="111"/>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334EE97-5540-4E89-96E0-051166273FBA}" name="Table114" displayName="Table114" ref="H34:H66" totalsRowShown="0">
  <autoFilter ref="H34:H66" xr:uid="{7334EE97-5540-4E89-96E0-051166273FBA}"/>
  <tableColumns count="1">
    <tableColumn id="2" xr3:uid="{AF6F0710-0EDE-4BCA-8128-F62A44FC222F}" name="Stakeholder Lis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B1C8E0E-A7CA-4AD3-832A-B20CBE0BA53C}" name="Table116" displayName="Table116" ref="B2:L34" totalsRowShown="0" headerRowDxfId="102" headerRowBorderDxfId="100" tableBorderDxfId="101" totalsRowBorderDxfId="99">
  <autoFilter ref="B2:L34" xr:uid="{3B1C8E0E-A7CA-4AD3-832A-B20CBE0BA53C}"/>
  <sortState xmlns:xlrd2="http://schemas.microsoft.com/office/spreadsheetml/2017/richdata2" ref="B3:L34">
    <sortCondition ref="B1:B34"/>
  </sortState>
  <tableColumns count="11">
    <tableColumn id="1" xr3:uid="{65A7422E-4A10-4841-ACB3-EF7725DF491F}" name="Customer" dataDxfId="98"/>
    <tableColumn id="2" xr3:uid="{AB471C57-0804-4299-954D-9B532C091AD7}" name="Key" dataDxfId="97"/>
    <tableColumn id="3" xr3:uid="{FE8659A0-589F-4CB3-A2F5-0BBEE3A2D1DB}" name="Internal Ref ID" dataDxfId="96"/>
    <tableColumn id="4" xr3:uid="{3F6A7AD7-FD88-4B63-BA40-D98AEFF57EFC}" name="Links" dataDxfId="95"/>
    <tableColumn id="5" xr3:uid="{0AFB86E1-F564-4A19-92D9-FD39A81AD3C1}" name="Priority" dataDxfId="94"/>
    <tableColumn id="6" xr3:uid="{CF090806-7265-48BB-898A-FA0C2FC67AF9}" name="Status" dataDxfId="93"/>
    <tableColumn id="7" xr3:uid="{50D63910-C8DE-4BF2-AAFE-BB0A3B54701B}" name="Summary" dataDxfId="92"/>
    <tableColumn id="8" xr3:uid="{0E3496F8-B4B3-4FB0-92DC-C311F3E968DE}" name="Created" dataDxfId="91"/>
    <tableColumn id="9" xr3:uid="{19DAB0A1-60EB-42B3-8AD8-72A7879D52AC}" name="Go Forward Plan" dataDxfId="90"/>
    <tableColumn id="10" xr3:uid="{9DCEA77F-0CDB-4C90-8E03-968025705868}" name="Targeted Date Out of Development" dataDxfId="89"/>
    <tableColumn id="11" xr3:uid="{F2A1D913-33B6-4565-821E-D34B1D1D9834}" name="Targeted Date Out of Development2" dataDxfId="8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70ED1E6-CD5E-4C27-BF79-56532ABB41F0}" name="Table14" displayName="Table14" ref="B2:J38" totalsRowShown="0" headerRowDxfId="87" dataDxfId="86">
  <autoFilter ref="B2:J38" xr:uid="{F70ED1E6-CD5E-4C27-BF79-56532ABB41F0}"/>
  <tableColumns count="9">
    <tableColumn id="1" xr3:uid="{6A93C525-0183-4405-B82C-E050B7F1B098}" name="Customer" dataDxfId="85"/>
    <tableColumn id="6" xr3:uid="{1C87F76F-893D-44D5-8957-C3DD13CD96E8}" name="JIRA ID" dataDxfId="84"/>
    <tableColumn id="2" xr3:uid="{59A35A56-F28B-439B-BF1F-AD5CEFC7AACF}" name="P1/P2" dataDxfId="83"/>
    <tableColumn id="9" xr3:uid="{C87264D2-58AD-413C-A4BF-5A4C953A2D2D}" name="Owner" dataDxfId="82"/>
    <tableColumn id="8" xr3:uid="{07C94480-8135-4761-9260-B00682EEB324}" name="Group" dataDxfId="81"/>
    <tableColumn id="7" xr3:uid="{E4A69EC7-70C1-4664-B8EE-F14C2AADC7E5}" name="Status" dataDxfId="80"/>
    <tableColumn id="3" xr3:uid="{A4B721C4-8FFD-431C-B479-AC96F76D29D2}" name="Summary" dataDxfId="79"/>
    <tableColumn id="4" xr3:uid="{32451356-2652-45B2-81BD-E7F46D175F42}" name="Notes/Resolution" dataDxfId="78"/>
    <tableColumn id="5" xr3:uid="{7F1ADD33-CD83-4CBD-A7F0-9F2A52665239}" name="Why was this not caught early?" dataDxfId="7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02D8828-6FEA-46FC-87AC-D98184C3F352}" name="Table6" displayName="Table6" ref="B2:C11" totalsRowShown="0" headerRowDxfId="76" dataDxfId="75" headerRowBorderDxfId="73" tableBorderDxfId="74" totalsRowBorderDxfId="72">
  <autoFilter ref="B2:C11" xr:uid="{702D8828-6FEA-46FC-87AC-D98184C3F352}">
    <filterColumn colId="0" hiddenButton="1"/>
    <filterColumn colId="1" hiddenButton="1"/>
  </autoFilter>
  <tableColumns count="2">
    <tableColumn id="1" xr3:uid="{1F67CD27-99DD-4FD8-B59F-3FD48F8C4A9A}" name="War Room Coordinator" dataDxfId="71"/>
    <tableColumn id="2" xr3:uid="{93EE6CE7-14A0-47FE-A336-1DD07778205F}" name="Contact Details" dataDxfId="70"/>
  </tableColumns>
  <tableStyleInfo name="TableStyleMedium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6909D5-FEA7-4B5E-AF40-3D6D51582BB0}" name="Table7" displayName="Table7" ref="B13:C19" totalsRowShown="0" headerRowDxfId="69" tableBorderDxfId="68">
  <autoFilter ref="B13:C19" xr:uid="{586909D5-FEA7-4B5E-AF40-3D6D51582BB0}">
    <filterColumn colId="0" hiddenButton="1"/>
    <filterColumn colId="1" hiddenButton="1"/>
  </autoFilter>
  <tableColumns count="2">
    <tableColumn id="1" xr3:uid="{DA511F08-A3EF-4FA5-BD76-ED854B7E1A5F}" name="INFRASTRUCTURE" dataDxfId="67"/>
    <tableColumn id="2" xr3:uid="{88DBEFFB-F6B6-44B7-82B2-BAC55B5F55AE}" name="Contact Details" dataDxfId="6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0EA22E0-2BA1-4E0F-B456-B1288F94663D}" name="Table8" displayName="Table8" ref="B21:C23" totalsRowShown="0" headerRowDxfId="65" tableBorderDxfId="64">
  <autoFilter ref="B21:C23" xr:uid="{A0EA22E0-2BA1-4E0F-B456-B1288F94663D}">
    <filterColumn colId="0" hiddenButton="1"/>
    <filterColumn colId="1" hiddenButton="1"/>
  </autoFilter>
  <tableColumns count="2">
    <tableColumn id="1" xr3:uid="{F8075CA6-CEAD-4034-8D46-904B70321928}" name="APP SUPPORT" dataDxfId="63"/>
    <tableColumn id="2" xr3:uid="{419B9E24-950D-4626-9613-AFEE8A80BC26}" name="Contact Details" dataDxfId="6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B7C2EC6-42B0-42A6-9A02-721DD7830118}" name="Table9" displayName="Table9" ref="B25:C49" totalsRowShown="0" tableBorderDxfId="61">
  <autoFilter ref="B25:C49" xr:uid="{CB7C2EC6-42B0-42A6-9A02-721DD7830118}">
    <filterColumn colId="0" hiddenButton="1"/>
    <filterColumn colId="1" hiddenButton="1"/>
  </autoFilter>
  <tableColumns count="2">
    <tableColumn id="1" xr3:uid="{F9D785F2-BAFA-43F0-8501-6862FDC07017}" name="SA/TC SUPPORT" dataDxfId="60"/>
    <tableColumn id="2" xr3:uid="{2D23CA30-24A2-46A9-B36A-E064FEFD9341}" name="Contact Details" dataDxfId="59"/>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581545-0604-4C00-82B9-86A2E4F76325}" name="Table10" displayName="Table10" ref="B51:C62" totalsRowShown="0" headerRowDxfId="58" headerRowBorderDxfId="56" tableBorderDxfId="57" totalsRowBorderDxfId="55">
  <autoFilter ref="B51:C62" xr:uid="{00581545-0604-4C00-82B9-86A2E4F76325}">
    <filterColumn colId="0" hiddenButton="1"/>
    <filterColumn colId="1" hiddenButton="1"/>
  </autoFilter>
  <tableColumns count="2">
    <tableColumn id="1" xr3:uid="{A539098A-50B4-4C1A-8F0E-BB488067E9EC}" name="Client Project Managers" dataDxfId="54"/>
    <tableColumn id="2" xr3:uid="{9CCB6152-394C-45B2-9FD0-D8F7831F504B}" name="Contact Details" dataDxfId="5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B1EFC2-0CEB-4EC0-B1BC-24205486ACD1}" name="Table3" displayName="Table3" ref="B64:C69" totalsRowShown="0" headerRowDxfId="52" headerRowBorderDxfId="50" tableBorderDxfId="51">
  <autoFilter ref="B64:C69" xr:uid="{35B1EFC2-0CEB-4EC0-B1BC-24205486ACD1}">
    <filterColumn colId="0" hiddenButton="1"/>
    <filterColumn colId="1" hiddenButton="1"/>
  </autoFilter>
  <tableColumns count="2">
    <tableColumn id="1" xr3:uid="{986D200A-1AB2-48E7-8701-CFD20A388DD7}" name="Product Management" dataDxfId="49"/>
    <tableColumn id="2" xr3:uid="{ADA54E4A-A453-4D4A-9D78-FBDD7A0EB2FF}" name="Contact Details" dataDxfId="48"/>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A8D3F9D-0371-4AB1-8D5C-17C207F771AC}" name="Table4" displayName="Table4" ref="B2:D28" totalsRowShown="0" tableBorderDxfId="14">
  <autoFilter ref="B2:D28" xr:uid="{BA8D3F9D-0371-4AB1-8D5C-17C207F771AC}"/>
  <tableColumns count="3">
    <tableColumn id="1" xr3:uid="{88B5830D-69CC-45E5-8F09-D3BEA2BF3D03}" name="GM Enabled" dataDxfId="13"/>
    <tableColumn id="2" xr3:uid="{81F2CE8F-DA31-4D82-AFFD-7E0419BE380B}" name="Customer" dataDxfId="12"/>
    <tableColumn id="3" xr3:uid="{DDE8772B-AA9A-4D7C-8519-601B272B94AF}" name="Further Data" dataDxfId="11"/>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6D264A9-3334-43D8-BED1-3E4EEB785FD2}" name="Table5" displayName="Table5" ref="B2:N10" totalsRowShown="0">
  <autoFilter ref="B2:N10" xr:uid="{96D264A9-3334-43D8-BED1-3E4EEB785FD2}"/>
  <tableColumns count="13">
    <tableColumn id="1" xr3:uid="{A1918CAB-3BD1-4FE7-B52F-EA3FF1A79341}" name="Customer Name" dataDxfId="10"/>
    <tableColumn id="2" xr3:uid="{C306A564-0857-4BC7-9A77-9B9A6D7FC7A2}" name="Status - Risk, Ticket Count" dataDxfId="9"/>
    <tableColumn id="3" xr3:uid="{13BFD6B3-EA0E-4655-987A-361B7CCDCBCF}" name="Fix Pack Version" dataDxfId="8"/>
    <tableColumn id="4" xr3:uid="{76F8CA8C-64D7-4ED9-9D7F-EF7E68D8F21D}" name="Snapshot Y/N" dataDxfId="7"/>
    <tableColumn id="5" xr3:uid="{9AA40BD4-60F7-493A-AFEC-088DE27744EB}" name="Gateway - SAA/SAG/OTHER" dataDxfId="6"/>
    <tableColumn id="6" xr3:uid="{3C7CD868-5BDF-43D3-863D-7165A1C59DDA}" name="Plan Version" dataDxfId="5"/>
    <tableColumn id="7" xr3:uid="{772AA532-D6FB-4880-93F3-3DDA1EC6B612}" name="Region" dataDxfId="4"/>
    <tableColumn id="8" xr3:uid="{EDE1648E-DAB6-4379-B15B-7ED1BF1D45CE}" name="Delivery Executive" dataDxfId="3"/>
    <tableColumn id="9" xr3:uid="{2C81B021-A38E-4FC5-9247-802874B17E5C}" name="Technical Go-LIVE Date"/>
    <tableColumn id="10" xr3:uid="{43844F91-1A55-4E11-B9D6-E6E48E87B980}" name="UPF On" dataDxfId="2"/>
    <tableColumn id="11" xr3:uid="{5A5AED04-C8CE-4DEF-9185-C758C7FBB011}" name="ISO 'On'" dataDxfId="1"/>
    <tableColumn id="12" xr3:uid="{E76B166E-882E-4A18-A56B-7E5627A49E56}" name="Implementation Details - Include UPF Components"/>
    <tableColumn id="13" xr3:uid="{A19C2982-0978-4908-B278-94658A2A8BA0}" name="Revised Plan - Meeting/Reviewed"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4" dT="2025-11-19T13:15:57.77" personId="{FAE21436-F77D-4865-B3CF-3D1BF02A3E9C}" id="{0CFE7CB2-E340-4902-B850-B68999CC1383}">
    <text>@Florence, Lolita How can Kevin be our on call support person if he is traveling? Thanks!</text>
    <mentions>
      <mention mentionpersonId="{B2ED5962-DED0-4C77-91F6-BB7D43947675}" mentionId="{919D8575-8AC6-482B-BE94-AD761638F2BE}" startIndex="0" length="17"/>
    </mentions>
  </threadedComment>
  <threadedComment ref="B24" dT="2025-11-19T16:58:32.94" personId="{80A92ECD-F637-429C-B2EE-CF621B474715}" id="{D1EBC7A0-6C70-4A40-8D31-9DDF1E01D711}" parentId="{0CFE7CB2-E340-4902-B850-B68999CC1383}">
    <text>I am not updating this tab.  This will be done by the PMs.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hyperlink" Target="https://gojira.am.tsacorp.com/browse/H24-683822" TargetMode="External"/><Relationship Id="rId3" Type="http://schemas.openxmlformats.org/officeDocument/2006/relationships/hyperlink" Target="https://gojira.am.tsacorp.com/browse/H24-683666" TargetMode="External"/><Relationship Id="rId7" Type="http://schemas.openxmlformats.org/officeDocument/2006/relationships/hyperlink" Target="https://gojira.am.tsacorp.com/browse/H24-683802" TargetMode="External"/><Relationship Id="rId2" Type="http://schemas.openxmlformats.org/officeDocument/2006/relationships/hyperlink" Target="https://gojira.am.tsacorp.com/browse/H24-683661" TargetMode="External"/><Relationship Id="rId1" Type="http://schemas.openxmlformats.org/officeDocument/2006/relationships/hyperlink" Target="https://gojira.am.tsacorp.com/browse/H24-683656" TargetMode="External"/><Relationship Id="rId6" Type="http://schemas.openxmlformats.org/officeDocument/2006/relationships/hyperlink" Target="https://gojira.am.tsacorp.com/browse/H24-683793" TargetMode="External"/><Relationship Id="rId11" Type="http://schemas.openxmlformats.org/officeDocument/2006/relationships/printerSettings" Target="../printerSettings/printerSettings3.bin"/><Relationship Id="rId5" Type="http://schemas.openxmlformats.org/officeDocument/2006/relationships/hyperlink" Target="https://gojira.am.tsacorp.com/browse/H24-683712" TargetMode="External"/><Relationship Id="rId10" Type="http://schemas.openxmlformats.org/officeDocument/2006/relationships/hyperlink" Target="https://gojira.am.tsacorp.com/browse/H24-683824" TargetMode="External"/><Relationship Id="rId4" Type="http://schemas.openxmlformats.org/officeDocument/2006/relationships/hyperlink" Target="https://gojira.am.tsacorp.com/browse/H24-683707" TargetMode="External"/><Relationship Id="rId9" Type="http://schemas.openxmlformats.org/officeDocument/2006/relationships/hyperlink" Target="https://gojira.am.tsacorp.com/browse/H24-683831"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10.xml.rels><?xml version="1.0" encoding="UTF-8" standalone="yes"?>
<Relationships xmlns="http://schemas.openxmlformats.org/package/2006/relationships"><Relationship Id="rId2" Type="http://schemas.openxmlformats.org/officeDocument/2006/relationships/hyperlink" Target="../../../../../../../:x:/r/sites/gmp/proman/prosoft/Shareddocs/Wholesale%20Networks/Fedwire%20ISO%20Go%20Live%20Artifacts%202025/Quick%20link%20for%20Fed%20docs.xlsx?d=w2fcd221d7f8a4a11b553b53786a7db67&amp;csf=1&amp;web=1&amp;e=n1TkPZ" TargetMode="External"/><Relationship Id="rId1" Type="http://schemas.openxmlformats.org/officeDocument/2006/relationships/hyperlink" Target="../../../../../../gmp/proman/prosoft/Shareddocs/Wholesale%20Networks/Forms/AllItems.aspx?id=%2Fsites%2Fgmp%2Fproman%2Fprosoft%2FShareddocs%2FWholesale%20Networks%2FFedwire%20ISO%20Go%20Live%20Artifacts%202025&amp;p=true&amp;ga=1" TargetMode="External"/></Relationships>
</file>

<file path=xl/worksheets/_rels/sheet12.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hyperlink" Target="mailto:craig.maki@aciworldwide.com" TargetMode="External"/><Relationship Id="rId7" Type="http://schemas.openxmlformats.org/officeDocument/2006/relationships/table" Target="../tables/table1.xml"/><Relationship Id="rId2" Type="http://schemas.openxmlformats.org/officeDocument/2006/relationships/hyperlink" Target="mailto:tom.warsop@aciworldwide.com" TargetMode="External"/><Relationship Id="rId1" Type="http://schemas.openxmlformats.org/officeDocument/2006/relationships/hyperlink" Target="mailto:erich.litch@aciworldwide.com" TargetMode="External"/><Relationship Id="rId6" Type="http://schemas.openxmlformats.org/officeDocument/2006/relationships/drawing" Target="../drawings/drawing2.xml"/><Relationship Id="rId5" Type="http://schemas.openxmlformats.org/officeDocument/2006/relationships/hyperlink" Target="mailto:dennis.byrnes@aciworldwide.com" TargetMode="External"/><Relationship Id="rId4" Type="http://schemas.openxmlformats.org/officeDocument/2006/relationships/hyperlink" Target="mailto:craig.maki@aciworldwide.com"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3" Type="http://schemas.openxmlformats.org/officeDocument/2006/relationships/hyperlink" Target="mailto:JERamson@firsthorizon.com" TargetMode="External"/><Relationship Id="rId18" Type="http://schemas.openxmlformats.org/officeDocument/2006/relationships/hyperlink" Target="mailto:Adriana.Hastings@huntington.com" TargetMode="External"/><Relationship Id="rId26" Type="http://schemas.openxmlformats.org/officeDocument/2006/relationships/hyperlink" Target="mailto:bfranz@statestreet.com" TargetMode="External"/><Relationship Id="rId3" Type="http://schemas.openxmlformats.org/officeDocument/2006/relationships/hyperlink" Target="mailto:Eric.Sandoz@cnb.com" TargetMode="External"/><Relationship Id="rId21" Type="http://schemas.openxmlformats.org/officeDocument/2006/relationships/hyperlink" Target="mailto:nm177@ntrs.com" TargetMode="External"/><Relationship Id="rId34" Type="http://schemas.openxmlformats.org/officeDocument/2006/relationships/hyperlink" Target="mailto:andrew.mckibben@bofa.com" TargetMode="External"/><Relationship Id="rId7" Type="http://schemas.openxmlformats.org/officeDocument/2006/relationships/hyperlink" Target="mailto:weversley@fhlbatl.com" TargetMode="External"/><Relationship Id="rId12" Type="http://schemas.openxmlformats.org/officeDocument/2006/relationships/hyperlink" Target="mailto:nebradley@firsthorizon.com" TargetMode="External"/><Relationship Id="rId17" Type="http://schemas.openxmlformats.org/officeDocument/2006/relationships/hyperlink" Target="mailto:Linda.Albornoz@frostbank.com" TargetMode="External"/><Relationship Id="rId25" Type="http://schemas.openxmlformats.org/officeDocument/2006/relationships/hyperlink" Target="mailto:KHerur@StateStreet.com" TargetMode="External"/><Relationship Id="rId33" Type="http://schemas.openxmlformats.org/officeDocument/2006/relationships/hyperlink" Target="mailto:frank.dipuma@zionsbancorp.com" TargetMode="External"/><Relationship Id="rId2" Type="http://schemas.openxmlformats.org/officeDocument/2006/relationships/hyperlink" Target="mailto:Maria.Mason@CitizensBank.com" TargetMode="External"/><Relationship Id="rId16" Type="http://schemas.openxmlformats.org/officeDocument/2006/relationships/hyperlink" Target="mailto:Tarun.Dewan@frostbank.com" TargetMode="External"/><Relationship Id="rId20" Type="http://schemas.openxmlformats.org/officeDocument/2006/relationships/hyperlink" Target="mailto:fj16@ntrs.com" TargetMode="External"/><Relationship Id="rId29" Type="http://schemas.openxmlformats.org/officeDocument/2006/relationships/hyperlink" Target="mailto:Kevin.Hanrahan@wellsfargo.com" TargetMode="External"/><Relationship Id="rId1" Type="http://schemas.openxmlformats.org/officeDocument/2006/relationships/hyperlink" Target="mailto:congpengfei@abchinausa.com" TargetMode="External"/><Relationship Id="rId6" Type="http://schemas.openxmlformats.org/officeDocument/2006/relationships/hyperlink" Target="mailto:anastasiya.svyatova@fhlbny.com" TargetMode="External"/><Relationship Id="rId11" Type="http://schemas.openxmlformats.org/officeDocument/2006/relationships/hyperlink" Target="mailto:echar@fhb.com" TargetMode="External"/><Relationship Id="rId24" Type="http://schemas.openxmlformats.org/officeDocument/2006/relationships/hyperlink" Target="mailto:jfulchino@StateStreet.com" TargetMode="External"/><Relationship Id="rId32" Type="http://schemas.openxmlformats.org/officeDocument/2006/relationships/hyperlink" Target="mailto:Sarah.Berwick@wellsfargo.com" TargetMode="External"/><Relationship Id="rId5" Type="http://schemas.openxmlformats.org/officeDocument/2006/relationships/hyperlink" Target="mailto:asbjorn.ure@dnb.no" TargetMode="External"/><Relationship Id="rId15" Type="http://schemas.openxmlformats.org/officeDocument/2006/relationships/hyperlink" Target="mailto:bbeckmann@flushingbank.com" TargetMode="External"/><Relationship Id="rId23" Type="http://schemas.openxmlformats.org/officeDocument/2006/relationships/hyperlink" Target="mailto:ivy.yee@sc.com" TargetMode="External"/><Relationship Id="rId28" Type="http://schemas.openxmlformats.org/officeDocument/2006/relationships/hyperlink" Target="mailto:Uma.Wilson@umb.com" TargetMode="External"/><Relationship Id="rId36" Type="http://schemas.openxmlformats.org/officeDocument/2006/relationships/printerSettings" Target="../printerSettings/printerSettings6.bin"/><Relationship Id="rId10" Type="http://schemas.openxmlformats.org/officeDocument/2006/relationships/hyperlink" Target="mailto:Rodney.Baker@53.com" TargetMode="External"/><Relationship Id="rId19" Type="http://schemas.openxmlformats.org/officeDocument/2006/relationships/hyperlink" Target="mailto:Robert.Fasanello@mizuhogroup.com" TargetMode="External"/><Relationship Id="rId31" Type="http://schemas.openxmlformats.org/officeDocument/2006/relationships/hyperlink" Target="mailto:Kevin.Hanrahan@wellsfargo.com" TargetMode="External"/><Relationship Id="rId4" Type="http://schemas.openxmlformats.org/officeDocument/2006/relationships/hyperlink" Target="mailto:sdcard-jones@comerica.com" TargetMode="External"/><Relationship Id="rId9" Type="http://schemas.openxmlformats.org/officeDocument/2006/relationships/hyperlink" Target="mailto:cschuler@fhlbdm.com" TargetMode="External"/><Relationship Id="rId14" Type="http://schemas.openxmlformats.org/officeDocument/2006/relationships/hyperlink" Target="mailto:ssufian@fnbo.com" TargetMode="External"/><Relationship Id="rId22" Type="http://schemas.openxmlformats.org/officeDocument/2006/relationships/hyperlink" Target="mailto:franklin.danley@regions.com" TargetMode="External"/><Relationship Id="rId27" Type="http://schemas.openxmlformats.org/officeDocument/2006/relationships/hyperlink" Target="mailto:Banu.Venkat@truist.com" TargetMode="External"/><Relationship Id="rId30" Type="http://schemas.openxmlformats.org/officeDocument/2006/relationships/hyperlink" Target="mailto:Sarah.Berwick@wellsfargo.com" TargetMode="External"/><Relationship Id="rId35" Type="http://schemas.openxmlformats.org/officeDocument/2006/relationships/hyperlink" Target="mailto:venkat.raghavan@sc.com" TargetMode="External"/><Relationship Id="rId8" Type="http://schemas.openxmlformats.org/officeDocument/2006/relationships/hyperlink" Target="mailto:HalpinDM@fhlbcin.com" TargetMode="External"/></Relationships>
</file>

<file path=xl/worksheets/_rels/sheet1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F5481-57B4-47D3-B3CA-C4AAE985355C}">
  <sheetPr filterMode="1">
    <tabColor rgb="FF00B050"/>
  </sheetPr>
  <dimension ref="A1:Z29"/>
  <sheetViews>
    <sheetView zoomScaleNormal="100" workbookViewId="0">
      <pane xSplit="1" ySplit="1" topLeftCell="B9" activePane="bottomRight" state="frozen"/>
      <selection pane="bottomRight" activeCell="A2" sqref="A2:A17"/>
      <selection pane="bottomLeft" activeCell="A2" sqref="A2"/>
      <selection pane="topRight" activeCell="B1" sqref="B1"/>
    </sheetView>
  </sheetViews>
  <sheetFormatPr defaultColWidth="8.85546875" defaultRowHeight="108.95" customHeight="1"/>
  <cols>
    <col min="1" max="2" width="21.5703125" style="1" customWidth="1"/>
    <col min="3" max="3" width="17" style="1" customWidth="1"/>
    <col min="4" max="4" width="28.85546875" style="1" bestFit="1" customWidth="1"/>
    <col min="5" max="5" width="28.140625" style="1" bestFit="1" customWidth="1"/>
    <col min="6" max="6" width="23.85546875" style="1" customWidth="1"/>
    <col min="7" max="7" width="19.5703125" style="12" customWidth="1"/>
    <col min="8" max="8" width="17.85546875" style="12" customWidth="1"/>
    <col min="9" max="9" width="16.140625" style="22" customWidth="1"/>
    <col min="10" max="10" width="20.42578125" style="12" bestFit="1" customWidth="1"/>
    <col min="11" max="11" width="17.85546875" style="22" customWidth="1"/>
    <col min="12" max="12" width="16.42578125" style="12" customWidth="1"/>
    <col min="13" max="13" width="21" style="1" customWidth="1"/>
    <col min="14" max="14" width="22.140625" style="1" customWidth="1"/>
    <col min="15" max="15" width="22.42578125" style="12" customWidth="1"/>
    <col min="16" max="16" width="25.85546875" style="17" customWidth="1"/>
    <col min="17" max="17" width="21.42578125" style="9" bestFit="1" customWidth="1"/>
    <col min="18" max="18" width="26.5703125" style="9" bestFit="1" customWidth="1"/>
    <col min="19" max="19" width="39.7109375" style="1" customWidth="1"/>
    <col min="20" max="20" width="28.140625" style="1" bestFit="1" customWidth="1"/>
    <col min="26" max="16384" width="8.85546875" style="1"/>
  </cols>
  <sheetData>
    <row r="1" spans="1:26" s="28" customFormat="1" ht="54" customHeight="1">
      <c r="A1" s="24" t="s">
        <v>0</v>
      </c>
      <c r="B1" s="24" t="s">
        <v>1</v>
      </c>
      <c r="C1" s="24" t="s">
        <v>2</v>
      </c>
      <c r="D1" s="24" t="s">
        <v>3</v>
      </c>
      <c r="E1" s="24" t="s">
        <v>4</v>
      </c>
      <c r="F1" s="24" t="s">
        <v>5</v>
      </c>
      <c r="G1" s="24" t="s">
        <v>6</v>
      </c>
      <c r="H1" s="24" t="s">
        <v>7</v>
      </c>
      <c r="I1" s="30" t="s">
        <v>8</v>
      </c>
      <c r="J1" s="24" t="s">
        <v>9</v>
      </c>
      <c r="K1" s="30" t="s">
        <v>10</v>
      </c>
      <c r="L1" s="24" t="s">
        <v>11</v>
      </c>
      <c r="M1" s="24" t="s">
        <v>12</v>
      </c>
      <c r="N1" s="24" t="s">
        <v>13</v>
      </c>
      <c r="O1" s="24" t="s">
        <v>14</v>
      </c>
      <c r="P1" s="25" t="s">
        <v>15</v>
      </c>
      <c r="Q1" s="26" t="s">
        <v>16</v>
      </c>
      <c r="R1" s="26" t="s">
        <v>17</v>
      </c>
      <c r="S1" s="27" t="s">
        <v>18</v>
      </c>
      <c r="T1" s="24" t="s">
        <v>19</v>
      </c>
      <c r="Z1" s="65"/>
    </row>
    <row r="2" spans="1:26" ht="108.95" customHeight="1">
      <c r="A2" s="2" t="s">
        <v>20</v>
      </c>
      <c r="B2" s="2" t="s">
        <v>21</v>
      </c>
      <c r="C2" s="2" t="s">
        <v>22</v>
      </c>
      <c r="D2" s="20" t="s">
        <v>23</v>
      </c>
      <c r="E2" s="20" t="s">
        <v>24</v>
      </c>
      <c r="F2" s="20" t="s">
        <v>25</v>
      </c>
      <c r="G2" s="12" t="s">
        <v>26</v>
      </c>
      <c r="H2" s="12" t="s">
        <v>27</v>
      </c>
      <c r="I2" s="22" t="s">
        <v>27</v>
      </c>
      <c r="J2" s="12" t="s">
        <v>28</v>
      </c>
      <c r="K2" s="43" t="s">
        <v>29</v>
      </c>
      <c r="L2" s="12" t="s">
        <v>30</v>
      </c>
      <c r="M2" s="1" t="s">
        <v>31</v>
      </c>
      <c r="O2" s="11" t="s">
        <v>32</v>
      </c>
      <c r="P2" s="17" t="s">
        <v>24</v>
      </c>
      <c r="Q2" s="8" t="s">
        <v>33</v>
      </c>
      <c r="R2" s="8" t="s">
        <v>27</v>
      </c>
      <c r="S2" s="58" t="s">
        <v>34</v>
      </c>
      <c r="T2" s="1" t="s">
        <v>35</v>
      </c>
    </row>
    <row r="3" spans="1:26" s="15" customFormat="1" ht="108.95" hidden="1" customHeight="1">
      <c r="A3" s="15" t="s">
        <v>36</v>
      </c>
      <c r="B3" s="15" t="s">
        <v>37</v>
      </c>
      <c r="C3" s="15" t="s">
        <v>22</v>
      </c>
      <c r="D3" s="15" t="s">
        <v>38</v>
      </c>
      <c r="E3" s="29" t="s">
        <v>39</v>
      </c>
      <c r="F3" s="20" t="s">
        <v>40</v>
      </c>
      <c r="G3" s="16" t="s">
        <v>41</v>
      </c>
      <c r="H3" s="16" t="s">
        <v>42</v>
      </c>
      <c r="I3" s="14" t="s">
        <v>27</v>
      </c>
      <c r="J3" s="16" t="s">
        <v>43</v>
      </c>
      <c r="K3" s="44" t="s">
        <v>44</v>
      </c>
      <c r="L3" s="16" t="s">
        <v>45</v>
      </c>
      <c r="M3" s="15" t="s">
        <v>31</v>
      </c>
      <c r="O3" s="16" t="s">
        <v>32</v>
      </c>
      <c r="P3" s="17">
        <v>45002</v>
      </c>
      <c r="Q3" s="17" t="s">
        <v>46</v>
      </c>
      <c r="R3" s="17" t="s">
        <v>27</v>
      </c>
      <c r="S3" s="15" t="s">
        <v>47</v>
      </c>
      <c r="T3" s="15" t="s">
        <v>48</v>
      </c>
    </row>
    <row r="4" spans="1:26" ht="108.95" customHeight="1">
      <c r="A4" s="2" t="s">
        <v>49</v>
      </c>
      <c r="B4" s="2" t="s">
        <v>50</v>
      </c>
      <c r="C4" s="2" t="s">
        <v>22</v>
      </c>
      <c r="D4" s="20" t="s">
        <v>51</v>
      </c>
      <c r="E4" s="20" t="s">
        <v>24</v>
      </c>
      <c r="F4" s="20"/>
      <c r="G4" s="12" t="s">
        <v>52</v>
      </c>
      <c r="H4" s="12" t="s">
        <v>42</v>
      </c>
      <c r="I4" s="22" t="s">
        <v>27</v>
      </c>
      <c r="J4" s="12" t="s">
        <v>53</v>
      </c>
      <c r="K4" s="43"/>
      <c r="L4" s="12" t="s">
        <v>30</v>
      </c>
      <c r="M4" s="1" t="s">
        <v>31</v>
      </c>
      <c r="O4" s="11" t="s">
        <v>54</v>
      </c>
      <c r="P4" s="17">
        <v>44996</v>
      </c>
      <c r="Q4" s="8" t="s">
        <v>27</v>
      </c>
      <c r="R4" s="8" t="s">
        <v>27</v>
      </c>
      <c r="S4" s="1" t="s">
        <v>55</v>
      </c>
      <c r="T4" s="1" t="s">
        <v>56</v>
      </c>
    </row>
    <row r="5" spans="1:26" ht="144.94999999999999" hidden="1">
      <c r="A5" s="2" t="s">
        <v>57</v>
      </c>
      <c r="B5" s="2" t="s">
        <v>58</v>
      </c>
      <c r="C5" s="2" t="s">
        <v>59</v>
      </c>
      <c r="D5" s="20" t="s">
        <v>60</v>
      </c>
      <c r="E5" s="20" t="s">
        <v>61</v>
      </c>
      <c r="F5" s="20" t="s">
        <v>40</v>
      </c>
      <c r="G5" s="12" t="s">
        <v>62</v>
      </c>
      <c r="H5" s="12" t="s">
        <v>42</v>
      </c>
      <c r="I5" s="22" t="s">
        <v>27</v>
      </c>
      <c r="J5" s="12" t="s">
        <v>53</v>
      </c>
      <c r="K5" s="43" t="s">
        <v>44</v>
      </c>
      <c r="L5" s="11" t="s">
        <v>45</v>
      </c>
      <c r="M5" s="1" t="s">
        <v>63</v>
      </c>
      <c r="O5" s="12" t="s">
        <v>64</v>
      </c>
      <c r="P5" s="17">
        <v>44624</v>
      </c>
      <c r="Q5" s="9" t="s">
        <v>42</v>
      </c>
      <c r="R5" s="17" t="s">
        <v>65</v>
      </c>
      <c r="S5" s="1" t="s">
        <v>66</v>
      </c>
      <c r="T5" s="1" t="s">
        <v>67</v>
      </c>
    </row>
    <row r="6" spans="1:26" ht="108.95" customHeight="1">
      <c r="A6" s="2" t="s">
        <v>68</v>
      </c>
      <c r="B6" s="2" t="s">
        <v>69</v>
      </c>
      <c r="C6" s="2" t="s">
        <v>22</v>
      </c>
      <c r="D6" s="20" t="s">
        <v>70</v>
      </c>
      <c r="E6" s="20" t="s">
        <v>24</v>
      </c>
      <c r="F6" s="20"/>
      <c r="G6" s="11" t="s">
        <v>41</v>
      </c>
      <c r="H6" s="11" t="s">
        <v>27</v>
      </c>
      <c r="I6" s="22" t="s">
        <v>27</v>
      </c>
      <c r="J6" s="11" t="s">
        <v>53</v>
      </c>
      <c r="K6" s="45"/>
      <c r="L6" s="11" t="s">
        <v>30</v>
      </c>
      <c r="M6" s="2" t="s">
        <v>31</v>
      </c>
      <c r="N6" s="2" t="s">
        <v>71</v>
      </c>
      <c r="O6" s="11" t="s">
        <v>32</v>
      </c>
      <c r="P6" s="17" t="s">
        <v>72</v>
      </c>
      <c r="Q6" s="8" t="s">
        <v>27</v>
      </c>
      <c r="R6" s="8" t="s">
        <v>27</v>
      </c>
      <c r="S6" s="2" t="s">
        <v>73</v>
      </c>
      <c r="T6" s="1" t="s">
        <v>74</v>
      </c>
    </row>
    <row r="7" spans="1:26" ht="108.95" customHeight="1">
      <c r="A7" s="2" t="s">
        <v>75</v>
      </c>
      <c r="B7" s="2" t="s">
        <v>69</v>
      </c>
      <c r="C7" s="2"/>
      <c r="D7" s="20" t="s">
        <v>76</v>
      </c>
      <c r="E7" s="20" t="s">
        <v>24</v>
      </c>
      <c r="F7" s="20"/>
      <c r="G7" s="11" t="s">
        <v>77</v>
      </c>
      <c r="H7" s="11" t="s">
        <v>27</v>
      </c>
      <c r="I7" s="23" t="s">
        <v>78</v>
      </c>
      <c r="J7" s="11" t="s">
        <v>79</v>
      </c>
      <c r="K7" s="45"/>
      <c r="L7" s="11" t="s">
        <v>30</v>
      </c>
      <c r="M7" s="2" t="s">
        <v>80</v>
      </c>
      <c r="N7" s="2" t="s">
        <v>81</v>
      </c>
      <c r="O7" s="11" t="s">
        <v>32</v>
      </c>
      <c r="P7" s="17">
        <v>44877</v>
      </c>
      <c r="Q7" s="8" t="s">
        <v>27</v>
      </c>
      <c r="R7" s="8" t="s">
        <v>27</v>
      </c>
      <c r="S7" s="4" t="s">
        <v>82</v>
      </c>
      <c r="T7" s="1" t="s">
        <v>83</v>
      </c>
    </row>
    <row r="8" spans="1:26" ht="108.95" customHeight="1">
      <c r="A8" s="2" t="s">
        <v>84</v>
      </c>
      <c r="B8" s="2" t="s">
        <v>50</v>
      </c>
      <c r="C8" s="2" t="s">
        <v>22</v>
      </c>
      <c r="D8" s="20" t="s">
        <v>24</v>
      </c>
      <c r="E8" s="20" t="s">
        <v>24</v>
      </c>
      <c r="F8" s="20"/>
      <c r="G8" s="11"/>
      <c r="H8" s="11" t="s">
        <v>27</v>
      </c>
      <c r="I8" s="22" t="s">
        <v>27</v>
      </c>
      <c r="J8" s="11"/>
      <c r="K8" s="45"/>
      <c r="L8" s="11" t="s">
        <v>30</v>
      </c>
      <c r="M8" s="2"/>
      <c r="N8" s="2"/>
      <c r="O8" s="11" t="s">
        <v>32</v>
      </c>
      <c r="P8" s="17" t="s">
        <v>72</v>
      </c>
      <c r="Q8" s="8" t="s">
        <v>27</v>
      </c>
      <c r="R8" s="8" t="s">
        <v>27</v>
      </c>
      <c r="S8" s="2" t="s">
        <v>85</v>
      </c>
    </row>
    <row r="9" spans="1:26" ht="108.95" customHeight="1">
      <c r="A9" s="2" t="s">
        <v>86</v>
      </c>
      <c r="B9" s="2" t="s">
        <v>87</v>
      </c>
      <c r="C9" s="2" t="s">
        <v>22</v>
      </c>
      <c r="D9" s="20" t="s">
        <v>88</v>
      </c>
      <c r="E9" s="20" t="s">
        <v>24</v>
      </c>
      <c r="F9" s="20"/>
      <c r="G9" s="12" t="s">
        <v>41</v>
      </c>
      <c r="H9" s="12" t="s">
        <v>27</v>
      </c>
      <c r="I9" s="22" t="s">
        <v>27</v>
      </c>
      <c r="J9" s="12" t="s">
        <v>89</v>
      </c>
      <c r="K9" s="43"/>
      <c r="L9" s="12" t="s">
        <v>90</v>
      </c>
      <c r="M9" s="1" t="s">
        <v>91</v>
      </c>
      <c r="O9" s="12" t="s">
        <v>54</v>
      </c>
      <c r="P9" s="17" t="s">
        <v>72</v>
      </c>
      <c r="Q9" s="8" t="s">
        <v>27</v>
      </c>
      <c r="R9" s="8" t="s">
        <v>27</v>
      </c>
      <c r="S9" s="4" t="s">
        <v>92</v>
      </c>
      <c r="T9" s="1" t="s">
        <v>93</v>
      </c>
    </row>
    <row r="10" spans="1:26" ht="188.45" hidden="1">
      <c r="A10" s="2" t="s">
        <v>94</v>
      </c>
      <c r="B10" s="2" t="s">
        <v>95</v>
      </c>
      <c r="C10" s="2" t="s">
        <v>22</v>
      </c>
      <c r="D10" s="20" t="s">
        <v>96</v>
      </c>
      <c r="E10" s="20" t="s">
        <v>97</v>
      </c>
      <c r="F10" s="20" t="s">
        <v>98</v>
      </c>
      <c r="G10" s="11" t="s">
        <v>41</v>
      </c>
      <c r="H10" s="11" t="s">
        <v>27</v>
      </c>
      <c r="I10" s="22" t="s">
        <v>42</v>
      </c>
      <c r="J10" s="11" t="s">
        <v>99</v>
      </c>
      <c r="K10" s="45" t="s">
        <v>29</v>
      </c>
      <c r="L10" s="11" t="s">
        <v>100</v>
      </c>
      <c r="M10" s="2"/>
      <c r="N10" s="2" t="s">
        <v>101</v>
      </c>
      <c r="O10" s="11" t="s">
        <v>32</v>
      </c>
      <c r="P10" s="17">
        <v>44582</v>
      </c>
      <c r="Q10" s="8" t="s">
        <v>42</v>
      </c>
      <c r="R10" s="8" t="s">
        <v>27</v>
      </c>
      <c r="S10" s="4" t="s">
        <v>102</v>
      </c>
      <c r="T10" s="1" t="s">
        <v>103</v>
      </c>
    </row>
    <row r="11" spans="1:26" ht="108.95" hidden="1" customHeight="1">
      <c r="A11" s="2" t="s">
        <v>104</v>
      </c>
      <c r="B11" s="2" t="s">
        <v>105</v>
      </c>
      <c r="C11" s="2" t="s">
        <v>22</v>
      </c>
      <c r="D11" s="20" t="s">
        <v>106</v>
      </c>
      <c r="E11" s="20" t="s">
        <v>107</v>
      </c>
      <c r="F11" s="20" t="s">
        <v>108</v>
      </c>
      <c r="G11" s="12" t="s">
        <v>109</v>
      </c>
      <c r="H11" s="12" t="s">
        <v>27</v>
      </c>
      <c r="I11" s="22" t="s">
        <v>27</v>
      </c>
      <c r="J11" s="12" t="s">
        <v>53</v>
      </c>
      <c r="K11" s="43" t="s">
        <v>110</v>
      </c>
      <c r="L11" s="12" t="s">
        <v>100</v>
      </c>
      <c r="M11" s="1" t="s">
        <v>111</v>
      </c>
      <c r="N11" s="1" t="s">
        <v>112</v>
      </c>
      <c r="O11" s="11" t="s">
        <v>113</v>
      </c>
      <c r="P11" s="17" t="s">
        <v>114</v>
      </c>
      <c r="Q11" s="8" t="s">
        <v>42</v>
      </c>
      <c r="R11" s="8" t="s">
        <v>115</v>
      </c>
      <c r="S11" s="3" t="s">
        <v>116</v>
      </c>
      <c r="T11" s="1" t="s">
        <v>117</v>
      </c>
    </row>
    <row r="12" spans="1:26" ht="159.6" hidden="1">
      <c r="A12" s="2" t="s">
        <v>118</v>
      </c>
      <c r="B12" s="2" t="s">
        <v>95</v>
      </c>
      <c r="C12" s="2" t="s">
        <v>22</v>
      </c>
      <c r="D12" s="20" t="s">
        <v>70</v>
      </c>
      <c r="E12" s="20" t="s">
        <v>119</v>
      </c>
      <c r="F12" s="20" t="s">
        <v>98</v>
      </c>
      <c r="G12" s="12" t="s">
        <v>41</v>
      </c>
      <c r="H12" s="12" t="s">
        <v>42</v>
      </c>
      <c r="I12" s="22" t="s">
        <v>42</v>
      </c>
      <c r="J12" s="12" t="s">
        <v>99</v>
      </c>
      <c r="K12" s="43" t="s">
        <v>29</v>
      </c>
      <c r="L12" s="12" t="s">
        <v>100</v>
      </c>
      <c r="N12" s="31" t="s">
        <v>120</v>
      </c>
      <c r="O12" s="11" t="s">
        <v>32</v>
      </c>
      <c r="P12" s="17">
        <v>44875</v>
      </c>
      <c r="Q12" s="9" t="s">
        <v>42</v>
      </c>
      <c r="R12" s="8" t="s">
        <v>65</v>
      </c>
      <c r="S12" s="1" t="s">
        <v>121</v>
      </c>
      <c r="T12" s="1" t="s">
        <v>122</v>
      </c>
    </row>
    <row r="13" spans="1:26" ht="108.95" hidden="1" customHeight="1">
      <c r="A13" s="2" t="s">
        <v>123</v>
      </c>
      <c r="B13" s="2" t="s">
        <v>105</v>
      </c>
      <c r="C13" s="2" t="s">
        <v>22</v>
      </c>
      <c r="D13" s="20" t="s">
        <v>70</v>
      </c>
      <c r="E13" s="20" t="s">
        <v>124</v>
      </c>
      <c r="F13" s="20" t="s">
        <v>98</v>
      </c>
      <c r="G13" s="12" t="s">
        <v>41</v>
      </c>
      <c r="H13" s="12" t="s">
        <v>27</v>
      </c>
      <c r="I13" s="22" t="s">
        <v>42</v>
      </c>
      <c r="J13" s="12" t="s">
        <v>99</v>
      </c>
      <c r="K13" s="43" t="s">
        <v>29</v>
      </c>
      <c r="L13" s="12" t="s">
        <v>100</v>
      </c>
      <c r="M13" s="1" t="s">
        <v>111</v>
      </c>
      <c r="O13" s="11" t="s">
        <v>54</v>
      </c>
      <c r="P13" s="17" t="s">
        <v>125</v>
      </c>
      <c r="Q13" s="8" t="s">
        <v>42</v>
      </c>
      <c r="R13" s="8" t="s">
        <v>65</v>
      </c>
      <c r="S13" s="1" t="s">
        <v>126</v>
      </c>
      <c r="T13" s="59" t="s">
        <v>127</v>
      </c>
    </row>
    <row r="14" spans="1:26" ht="108.95" customHeight="1">
      <c r="A14" s="2" t="s">
        <v>128</v>
      </c>
      <c r="B14" s="2" t="s">
        <v>105</v>
      </c>
      <c r="C14" s="2" t="s">
        <v>22</v>
      </c>
      <c r="D14" s="20" t="s">
        <v>76</v>
      </c>
      <c r="E14" s="20" t="s">
        <v>24</v>
      </c>
      <c r="F14" s="20"/>
      <c r="G14" s="12" t="s">
        <v>77</v>
      </c>
      <c r="H14" s="12" t="s">
        <v>27</v>
      </c>
      <c r="I14" s="22" t="s">
        <v>27</v>
      </c>
      <c r="J14" s="12" t="s">
        <v>129</v>
      </c>
      <c r="K14" s="43" t="s">
        <v>29</v>
      </c>
      <c r="L14" s="11" t="s">
        <v>130</v>
      </c>
      <c r="M14" s="1" t="s">
        <v>111</v>
      </c>
      <c r="N14" s="1" t="s">
        <v>131</v>
      </c>
      <c r="O14" s="11" t="s">
        <v>54</v>
      </c>
      <c r="P14" s="17">
        <v>44961</v>
      </c>
      <c r="Q14" s="8" t="s">
        <v>27</v>
      </c>
      <c r="R14" s="8" t="s">
        <v>27</v>
      </c>
      <c r="S14" s="1" t="s">
        <v>132</v>
      </c>
      <c r="T14" s="1" t="s">
        <v>133</v>
      </c>
    </row>
    <row r="15" spans="1:26" ht="108.95" customHeight="1">
      <c r="A15" s="2" t="s">
        <v>134</v>
      </c>
      <c r="B15" s="2" t="s">
        <v>69</v>
      </c>
      <c r="C15" s="2" t="s">
        <v>22</v>
      </c>
      <c r="D15" s="20" t="s">
        <v>70</v>
      </c>
      <c r="E15" s="20" t="s">
        <v>24</v>
      </c>
      <c r="F15" s="20"/>
      <c r="G15" s="12" t="s">
        <v>41</v>
      </c>
      <c r="H15" s="12" t="s">
        <v>27</v>
      </c>
      <c r="I15" s="22" t="s">
        <v>27</v>
      </c>
      <c r="J15" s="12" t="s">
        <v>53</v>
      </c>
      <c r="K15" s="43"/>
      <c r="L15" s="12" t="s">
        <v>30</v>
      </c>
      <c r="M15" s="1" t="s">
        <v>80</v>
      </c>
      <c r="N15" s="1" t="s">
        <v>135</v>
      </c>
      <c r="O15" s="11" t="s">
        <v>113</v>
      </c>
      <c r="P15" s="17">
        <v>44884</v>
      </c>
      <c r="Q15" s="8" t="s">
        <v>27</v>
      </c>
      <c r="R15" s="8" t="s">
        <v>27</v>
      </c>
      <c r="S15" s="1" t="s">
        <v>136</v>
      </c>
      <c r="T15" s="1" t="s">
        <v>137</v>
      </c>
    </row>
    <row r="16" spans="1:26" ht="163.5" hidden="1" customHeight="1">
      <c r="A16" s="2" t="s">
        <v>138</v>
      </c>
      <c r="B16" s="2" t="s">
        <v>21</v>
      </c>
      <c r="C16" s="2" t="s">
        <v>22</v>
      </c>
      <c r="D16" s="20" t="s">
        <v>23</v>
      </c>
      <c r="E16" s="20" t="s">
        <v>139</v>
      </c>
      <c r="F16" s="20" t="s">
        <v>140</v>
      </c>
      <c r="G16" s="12" t="s">
        <v>141</v>
      </c>
      <c r="H16" s="12" t="s">
        <v>27</v>
      </c>
      <c r="I16" s="22" t="s">
        <v>27</v>
      </c>
      <c r="J16" s="12" t="s">
        <v>142</v>
      </c>
      <c r="K16" s="22" t="s">
        <v>143</v>
      </c>
      <c r="L16" s="12" t="s">
        <v>100</v>
      </c>
      <c r="M16" s="1" t="s">
        <v>144</v>
      </c>
      <c r="N16" s="59" t="s">
        <v>145</v>
      </c>
      <c r="O16" s="11" t="s">
        <v>32</v>
      </c>
      <c r="P16" s="17">
        <v>44974</v>
      </c>
      <c r="Q16" s="8" t="s">
        <v>42</v>
      </c>
      <c r="R16" s="8" t="s">
        <v>27</v>
      </c>
      <c r="S16" s="1" t="s">
        <v>146</v>
      </c>
      <c r="T16" s="1" t="s">
        <v>147</v>
      </c>
    </row>
    <row r="17" spans="1:20" ht="108.95" customHeight="1">
      <c r="A17" s="2" t="s">
        <v>148</v>
      </c>
      <c r="B17" s="2" t="s">
        <v>21</v>
      </c>
      <c r="C17" s="2" t="s">
        <v>22</v>
      </c>
      <c r="D17" s="20" t="s">
        <v>23</v>
      </c>
      <c r="E17" s="20" t="s">
        <v>24</v>
      </c>
      <c r="F17" s="20"/>
      <c r="G17" s="11" t="s">
        <v>149</v>
      </c>
      <c r="H17" s="11" t="s">
        <v>27</v>
      </c>
      <c r="I17" s="23" t="s">
        <v>27</v>
      </c>
      <c r="J17" s="11"/>
      <c r="K17" s="45" t="s">
        <v>143</v>
      </c>
      <c r="L17" s="11" t="s">
        <v>30</v>
      </c>
      <c r="M17" s="2" t="s">
        <v>150</v>
      </c>
      <c r="N17" s="2"/>
      <c r="O17" s="11" t="s">
        <v>32</v>
      </c>
      <c r="P17" s="17">
        <v>44856</v>
      </c>
      <c r="Q17" s="8" t="s">
        <v>42</v>
      </c>
      <c r="R17" s="8" t="s">
        <v>27</v>
      </c>
      <c r="S17" s="2" t="s">
        <v>151</v>
      </c>
      <c r="T17" s="1" t="s">
        <v>152</v>
      </c>
    </row>
    <row r="18" spans="1:20" ht="108.95" customHeight="1">
      <c r="A18" s="2" t="s">
        <v>153</v>
      </c>
      <c r="B18" s="2" t="s">
        <v>69</v>
      </c>
      <c r="C18" s="2" t="s">
        <v>22</v>
      </c>
      <c r="D18" s="20" t="s">
        <v>24</v>
      </c>
      <c r="E18" s="20" t="s">
        <v>24</v>
      </c>
      <c r="F18" s="20"/>
      <c r="G18" s="11"/>
      <c r="H18" s="11" t="s">
        <v>27</v>
      </c>
      <c r="I18" s="22" t="s">
        <v>27</v>
      </c>
      <c r="J18" s="11" t="s">
        <v>53</v>
      </c>
      <c r="K18" s="45"/>
      <c r="L18" s="11" t="s">
        <v>30</v>
      </c>
      <c r="M18" s="2"/>
      <c r="N18" s="2"/>
      <c r="O18" s="11" t="s">
        <v>113</v>
      </c>
      <c r="Q18" s="8" t="s">
        <v>27</v>
      </c>
      <c r="R18" s="8" t="s">
        <v>27</v>
      </c>
      <c r="S18" s="2" t="s">
        <v>154</v>
      </c>
    </row>
    <row r="19" spans="1:20" s="15" customFormat="1" ht="108.95" hidden="1" customHeight="1">
      <c r="A19" s="15" t="s">
        <v>155</v>
      </c>
      <c r="B19" s="15" t="s">
        <v>69</v>
      </c>
      <c r="C19" s="15" t="s">
        <v>59</v>
      </c>
      <c r="D19" s="20" t="s">
        <v>156</v>
      </c>
      <c r="E19" s="20" t="s">
        <v>157</v>
      </c>
      <c r="F19" s="20" t="s">
        <v>158</v>
      </c>
      <c r="G19" s="16" t="s">
        <v>156</v>
      </c>
      <c r="H19" s="16" t="s">
        <v>42</v>
      </c>
      <c r="I19" s="22" t="s">
        <v>42</v>
      </c>
      <c r="J19" s="16" t="s">
        <v>53</v>
      </c>
      <c r="K19" s="44"/>
      <c r="L19" s="16" t="s">
        <v>45</v>
      </c>
      <c r="O19" s="16" t="s">
        <v>113</v>
      </c>
      <c r="P19" s="17">
        <v>44982</v>
      </c>
      <c r="Q19" s="9" t="s">
        <v>42</v>
      </c>
      <c r="R19" s="17" t="s">
        <v>65</v>
      </c>
      <c r="S19" s="15" t="s">
        <v>159</v>
      </c>
    </row>
    <row r="20" spans="1:20" s="15" customFormat="1" ht="108.95" hidden="1" customHeight="1">
      <c r="A20" s="15" t="s">
        <v>160</v>
      </c>
      <c r="B20" s="15" t="s">
        <v>69</v>
      </c>
      <c r="C20" s="15" t="s">
        <v>59</v>
      </c>
      <c r="D20" s="20" t="s">
        <v>161</v>
      </c>
      <c r="E20" s="20" t="s">
        <v>157</v>
      </c>
      <c r="F20" s="20" t="s">
        <v>158</v>
      </c>
      <c r="G20" s="16" t="s">
        <v>161</v>
      </c>
      <c r="H20" s="16" t="s">
        <v>42</v>
      </c>
      <c r="I20" s="22" t="s">
        <v>42</v>
      </c>
      <c r="J20" s="16" t="s">
        <v>53</v>
      </c>
      <c r="K20" s="44"/>
      <c r="L20" s="16" t="s">
        <v>45</v>
      </c>
      <c r="O20" s="16" t="s">
        <v>113</v>
      </c>
      <c r="P20" s="17">
        <v>44982</v>
      </c>
      <c r="Q20" s="9" t="s">
        <v>42</v>
      </c>
      <c r="R20" s="17" t="s">
        <v>65</v>
      </c>
      <c r="S20" s="15" t="s">
        <v>162</v>
      </c>
    </row>
    <row r="21" spans="1:20" s="15" customFormat="1" ht="108.95" hidden="1" customHeight="1">
      <c r="A21" s="15" t="s">
        <v>163</v>
      </c>
      <c r="B21" s="15" t="s">
        <v>69</v>
      </c>
      <c r="C21" s="15" t="s">
        <v>59</v>
      </c>
      <c r="D21" s="20" t="s">
        <v>164</v>
      </c>
      <c r="E21" s="20" t="s">
        <v>157</v>
      </c>
      <c r="F21" s="20" t="s">
        <v>158</v>
      </c>
      <c r="G21" s="16" t="s">
        <v>164</v>
      </c>
      <c r="H21" s="16" t="s">
        <v>42</v>
      </c>
      <c r="I21" s="22" t="s">
        <v>42</v>
      </c>
      <c r="J21" s="16" t="s">
        <v>99</v>
      </c>
      <c r="K21" s="44"/>
      <c r="L21" s="16" t="s">
        <v>45</v>
      </c>
      <c r="O21" s="16" t="s">
        <v>113</v>
      </c>
      <c r="P21" s="17">
        <v>44989</v>
      </c>
      <c r="Q21" s="9" t="s">
        <v>42</v>
      </c>
      <c r="R21" s="17" t="s">
        <v>65</v>
      </c>
      <c r="S21" s="15" t="s">
        <v>165</v>
      </c>
    </row>
    <row r="22" spans="1:20" ht="108.95" hidden="1" customHeight="1">
      <c r="A22" s="2" t="s">
        <v>166</v>
      </c>
      <c r="B22" s="2" t="s">
        <v>167</v>
      </c>
      <c r="C22" s="2" t="s">
        <v>22</v>
      </c>
      <c r="D22" s="20" t="s">
        <v>168</v>
      </c>
      <c r="E22" s="20" t="s">
        <v>169</v>
      </c>
      <c r="F22" s="20" t="s">
        <v>40</v>
      </c>
      <c r="G22" s="18" t="s">
        <v>170</v>
      </c>
      <c r="H22" s="11" t="s">
        <v>27</v>
      </c>
      <c r="I22" s="23" t="s">
        <v>42</v>
      </c>
      <c r="J22" s="11" t="s">
        <v>171</v>
      </c>
      <c r="K22" s="45"/>
      <c r="L22" s="11" t="s">
        <v>172</v>
      </c>
      <c r="M22" s="2" t="s">
        <v>31</v>
      </c>
      <c r="N22" s="2" t="s">
        <v>173</v>
      </c>
      <c r="O22" s="11" t="s">
        <v>54</v>
      </c>
      <c r="P22" s="60" t="s">
        <v>174</v>
      </c>
      <c r="Q22" s="9" t="s">
        <v>42</v>
      </c>
      <c r="R22" s="8" t="s">
        <v>65</v>
      </c>
      <c r="S22" s="57" t="s">
        <v>175</v>
      </c>
      <c r="T22" s="57" t="s">
        <v>176</v>
      </c>
    </row>
    <row r="23" spans="1:20" ht="108.95" hidden="1" customHeight="1">
      <c r="A23" s="2" t="s">
        <v>177</v>
      </c>
      <c r="B23" s="2" t="s">
        <v>87</v>
      </c>
      <c r="C23" s="2" t="s">
        <v>22</v>
      </c>
      <c r="D23" s="20" t="s">
        <v>76</v>
      </c>
      <c r="E23" s="20" t="s">
        <v>178</v>
      </c>
      <c r="F23" s="20" t="s">
        <v>98</v>
      </c>
      <c r="G23" s="12" t="s">
        <v>77</v>
      </c>
      <c r="H23" s="12" t="s">
        <v>27</v>
      </c>
      <c r="I23" s="22" t="s">
        <v>78</v>
      </c>
      <c r="J23" s="12" t="s">
        <v>53</v>
      </c>
      <c r="K23" s="43"/>
      <c r="L23" s="12" t="s">
        <v>100</v>
      </c>
      <c r="O23" s="11" t="s">
        <v>54</v>
      </c>
      <c r="P23" s="17">
        <v>44963</v>
      </c>
      <c r="Q23" s="8" t="s">
        <v>42</v>
      </c>
      <c r="R23" s="8" t="s">
        <v>179</v>
      </c>
      <c r="S23" s="1" t="s">
        <v>180</v>
      </c>
      <c r="T23" s="1" t="s">
        <v>181</v>
      </c>
    </row>
    <row r="24" spans="1:20" ht="108.95" customHeight="1">
      <c r="A24" s="2" t="s">
        <v>182</v>
      </c>
      <c r="B24" s="2" t="s">
        <v>95</v>
      </c>
      <c r="C24" s="2" t="s">
        <v>183</v>
      </c>
      <c r="D24" s="20"/>
      <c r="E24" s="20" t="s">
        <v>24</v>
      </c>
      <c r="F24" s="20"/>
      <c r="G24" s="12" t="s">
        <v>77</v>
      </c>
      <c r="H24" s="12" t="s">
        <v>27</v>
      </c>
      <c r="I24" s="22" t="s">
        <v>27</v>
      </c>
      <c r="J24" s="12" t="s">
        <v>53</v>
      </c>
      <c r="K24" s="43"/>
      <c r="L24" s="12" t="s">
        <v>30</v>
      </c>
      <c r="O24" s="11" t="s">
        <v>54</v>
      </c>
      <c r="P24" s="17">
        <v>44907</v>
      </c>
      <c r="Q24" s="8" t="s">
        <v>27</v>
      </c>
      <c r="R24" s="8" t="s">
        <v>27</v>
      </c>
    </row>
    <row r="25" spans="1:20" ht="132.6" customHeight="1">
      <c r="A25" s="2" t="s">
        <v>184</v>
      </c>
      <c r="B25" s="2" t="s">
        <v>21</v>
      </c>
      <c r="C25" s="2" t="s">
        <v>22</v>
      </c>
      <c r="D25" s="20" t="s">
        <v>185</v>
      </c>
      <c r="E25" s="20" t="s">
        <v>24</v>
      </c>
      <c r="F25" s="20" t="s">
        <v>186</v>
      </c>
      <c r="G25" s="11" t="s">
        <v>187</v>
      </c>
      <c r="H25" s="11" t="s">
        <v>42</v>
      </c>
      <c r="I25" s="23" t="s">
        <v>27</v>
      </c>
      <c r="J25" s="11" t="s">
        <v>188</v>
      </c>
      <c r="K25" s="45" t="s">
        <v>143</v>
      </c>
      <c r="L25" s="11" t="s">
        <v>30</v>
      </c>
      <c r="M25" s="2"/>
      <c r="N25" s="2"/>
      <c r="O25" s="11" t="s">
        <v>32</v>
      </c>
      <c r="P25" s="17">
        <v>44885</v>
      </c>
      <c r="Q25" s="8" t="s">
        <v>27</v>
      </c>
      <c r="R25" s="8" t="s">
        <v>27</v>
      </c>
      <c r="S25" s="4" t="s">
        <v>189</v>
      </c>
      <c r="T25" s="1" t="s">
        <v>190</v>
      </c>
    </row>
    <row r="26" spans="1:20" ht="108.95" customHeight="1">
      <c r="A26" s="2" t="s">
        <v>191</v>
      </c>
      <c r="B26" s="2"/>
      <c r="C26" s="2" t="s">
        <v>22</v>
      </c>
      <c r="D26" s="20" t="s">
        <v>24</v>
      </c>
      <c r="E26" s="20" t="s">
        <v>24</v>
      </c>
      <c r="F26" s="20"/>
      <c r="G26" s="11"/>
      <c r="H26" s="11" t="s">
        <v>27</v>
      </c>
      <c r="I26" s="22" t="s">
        <v>27</v>
      </c>
      <c r="J26" s="11" t="s">
        <v>53</v>
      </c>
      <c r="K26" s="45"/>
      <c r="L26" s="11" t="s">
        <v>30</v>
      </c>
      <c r="M26" s="2"/>
      <c r="N26" s="2"/>
      <c r="O26" s="11" t="s">
        <v>32</v>
      </c>
      <c r="P26" s="17" t="s">
        <v>72</v>
      </c>
      <c r="Q26" s="8" t="s">
        <v>27</v>
      </c>
      <c r="R26" s="8" t="s">
        <v>27</v>
      </c>
      <c r="S26" s="2" t="s">
        <v>192</v>
      </c>
    </row>
    <row r="27" spans="1:20" ht="108.95" hidden="1" customHeight="1">
      <c r="A27" s="1" t="s">
        <v>193</v>
      </c>
      <c r="B27" s="1" t="s">
        <v>167</v>
      </c>
      <c r="C27" s="1" t="s">
        <v>183</v>
      </c>
      <c r="D27" s="1" t="s">
        <v>194</v>
      </c>
      <c r="E27" s="20" t="s">
        <v>195</v>
      </c>
      <c r="F27" s="20"/>
      <c r="G27" s="12" t="s">
        <v>194</v>
      </c>
      <c r="H27" s="12" t="s">
        <v>27</v>
      </c>
      <c r="I27" s="22" t="s">
        <v>42</v>
      </c>
      <c r="J27" s="12" t="s">
        <v>53</v>
      </c>
      <c r="K27" s="43" t="s">
        <v>29</v>
      </c>
      <c r="L27" s="12" t="s">
        <v>24</v>
      </c>
      <c r="O27" s="12" t="s">
        <v>54</v>
      </c>
      <c r="P27" s="17" t="s">
        <v>196</v>
      </c>
      <c r="Q27" s="9" t="s">
        <v>33</v>
      </c>
      <c r="R27" s="9" t="s">
        <v>33</v>
      </c>
      <c r="S27" s="1" t="s">
        <v>197</v>
      </c>
      <c r="T27" s="57" t="s">
        <v>198</v>
      </c>
    </row>
    <row r="29" spans="1:20" ht="108.95" customHeight="1">
      <c r="P29" s="16"/>
    </row>
  </sheetData>
  <autoFilter ref="A1:Y27" xr:uid="{D94F5481-57B4-47D3-B3CA-C4AAE985355C}">
    <filterColumn colId="11">
      <filters>
        <filter val="Plan C"/>
        <filter val="Plan D"/>
        <filter val="Plan E"/>
      </filters>
    </filterColumn>
  </autoFilter>
  <sortState xmlns:xlrd2="http://schemas.microsoft.com/office/spreadsheetml/2017/richdata2" ref="A2:T26">
    <sortCondition ref="P2:P26"/>
  </sortState>
  <dataValidations count="1">
    <dataValidation type="list" showDropDown="1" showInputMessage="1" showErrorMessage="1" sqref="D28:F1048576" xr:uid="{58C91FF5-D87E-4D6B-AB68-0029F5748964}">
      <formula1>#REF!</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A2499-E053-435B-915C-087463CC28F8}">
  <dimension ref="A1:Q41"/>
  <sheetViews>
    <sheetView workbookViewId="0">
      <selection activeCell="I33" sqref="A31:I33"/>
    </sheetView>
  </sheetViews>
  <sheetFormatPr defaultColWidth="56.28515625" defaultRowHeight="15" customHeight="1"/>
  <cols>
    <col min="1" max="1" width="32.42578125" customWidth="1"/>
    <col min="2" max="3" width="14.140625" customWidth="1"/>
    <col min="4" max="4" width="16.140625" customWidth="1"/>
    <col min="5" max="7" width="14.140625" customWidth="1"/>
    <col min="8" max="8" width="19.5703125" customWidth="1"/>
    <col min="9" max="9" width="17.140625" customWidth="1"/>
    <col min="10" max="10" width="38.5703125" customWidth="1"/>
    <col min="11" max="11" width="17" customWidth="1"/>
    <col min="12" max="12" width="17.5703125" customWidth="1"/>
    <col min="13" max="13" width="9.140625" bestFit="1" customWidth="1"/>
    <col min="14" max="16" width="10.42578125" bestFit="1" customWidth="1"/>
    <col min="17" max="17" width="17.28515625" bestFit="1" customWidth="1"/>
    <col min="18" max="18" width="9.140625"/>
  </cols>
  <sheetData>
    <row r="1" spans="1:17" ht="14.45"/>
    <row r="2" spans="1:17" ht="14.45">
      <c r="A2" s="474" t="s">
        <v>199</v>
      </c>
      <c r="B2" s="474"/>
      <c r="C2" s="474"/>
      <c r="D2" s="474"/>
      <c r="E2" s="474"/>
      <c r="F2" s="474"/>
      <c r="G2" s="474"/>
      <c r="H2" s="474"/>
      <c r="I2" s="474"/>
      <c r="J2" s="474"/>
      <c r="K2" s="474"/>
      <c r="L2" s="474"/>
      <c r="M2" s="474"/>
      <c r="N2" s="474"/>
      <c r="O2" s="474"/>
      <c r="P2" s="474"/>
      <c r="Q2" s="474"/>
    </row>
    <row r="3" spans="1:17" s="342" customFormat="1" ht="48.75" customHeight="1">
      <c r="A3" s="346" t="s">
        <v>0</v>
      </c>
      <c r="B3" s="346" t="s">
        <v>200</v>
      </c>
      <c r="C3" s="346" t="s">
        <v>201</v>
      </c>
      <c r="D3" s="346" t="s">
        <v>202</v>
      </c>
      <c r="E3" s="346" t="s">
        <v>203</v>
      </c>
      <c r="F3" s="346" t="s">
        <v>204</v>
      </c>
      <c r="G3" s="346" t="s">
        <v>205</v>
      </c>
      <c r="H3" s="346" t="s">
        <v>206</v>
      </c>
      <c r="I3" s="347" t="s">
        <v>207</v>
      </c>
      <c r="J3" s="347" t="s">
        <v>208</v>
      </c>
      <c r="K3" s="346" t="s">
        <v>209</v>
      </c>
      <c r="L3" s="346" t="s">
        <v>210</v>
      </c>
      <c r="M3" s="347" t="s">
        <v>211</v>
      </c>
      <c r="N3" s="347" t="s">
        <v>212</v>
      </c>
      <c r="O3" s="347" t="s">
        <v>213</v>
      </c>
      <c r="P3" s="347" t="s">
        <v>214</v>
      </c>
      <c r="Q3" s="347" t="s">
        <v>215</v>
      </c>
    </row>
    <row r="4" spans="1:17" ht="48.75" customHeight="1">
      <c r="A4" s="66" t="s">
        <v>216</v>
      </c>
      <c r="B4" s="197"/>
      <c r="C4" s="197"/>
      <c r="D4" s="197"/>
      <c r="E4" s="197"/>
      <c r="F4" s="197"/>
      <c r="G4" s="197"/>
      <c r="H4" s="348"/>
      <c r="I4" s="349"/>
      <c r="J4" s="350"/>
      <c r="K4" s="348"/>
      <c r="L4" s="348"/>
      <c r="M4" s="350"/>
      <c r="N4" s="351"/>
      <c r="O4" s="351"/>
      <c r="P4" s="351"/>
      <c r="Q4" s="349"/>
    </row>
    <row r="5" spans="1:17" ht="48.75" customHeight="1">
      <c r="A5" s="66" t="s">
        <v>217</v>
      </c>
      <c r="B5" s="197"/>
      <c r="C5" s="197"/>
      <c r="D5" s="197"/>
      <c r="E5" s="197"/>
      <c r="F5" s="197"/>
      <c r="G5" s="197"/>
      <c r="H5" s="348"/>
      <c r="I5" s="349"/>
      <c r="J5" s="350"/>
      <c r="K5" s="348"/>
      <c r="L5" s="348"/>
      <c r="M5" s="350"/>
      <c r="N5" s="351"/>
      <c r="O5" s="351"/>
      <c r="P5" s="351"/>
      <c r="Q5" s="349"/>
    </row>
    <row r="6" spans="1:17" ht="48.75" customHeight="1">
      <c r="A6" s="66" t="s">
        <v>218</v>
      </c>
      <c r="B6" s="197"/>
      <c r="C6" s="197"/>
      <c r="D6" s="197"/>
      <c r="E6" s="197"/>
      <c r="F6" s="197"/>
      <c r="G6" s="197"/>
      <c r="H6" s="348"/>
      <c r="I6" s="349"/>
      <c r="J6" s="350"/>
      <c r="K6" s="348"/>
      <c r="L6" s="348"/>
      <c r="M6" s="350"/>
      <c r="N6" s="351"/>
      <c r="O6" s="351"/>
      <c r="P6" s="351"/>
      <c r="Q6" s="349"/>
    </row>
    <row r="7" spans="1:17" ht="48.75" customHeight="1">
      <c r="A7" s="66" t="s">
        <v>123</v>
      </c>
      <c r="B7" s="197"/>
      <c r="C7" s="197"/>
      <c r="D7" s="197"/>
      <c r="E7" s="197"/>
      <c r="F7" s="197"/>
      <c r="G7" s="197"/>
      <c r="H7" s="348"/>
      <c r="I7" s="349"/>
      <c r="J7" s="350"/>
      <c r="K7" s="348"/>
      <c r="L7" s="348"/>
      <c r="M7" s="350"/>
      <c r="N7" s="351"/>
      <c r="O7" s="351"/>
      <c r="P7" s="351"/>
      <c r="Q7" s="349"/>
    </row>
    <row r="8" spans="1:17" ht="48.75" customHeight="1">
      <c r="A8" s="66" t="s">
        <v>219</v>
      </c>
      <c r="B8" s="197"/>
      <c r="C8" s="197"/>
      <c r="D8" s="197"/>
      <c r="E8" s="197"/>
      <c r="F8" s="197"/>
      <c r="G8" s="197"/>
      <c r="H8" s="348"/>
      <c r="I8" s="349"/>
      <c r="J8" s="350"/>
      <c r="K8" s="348"/>
      <c r="L8" s="348"/>
      <c r="M8" s="350"/>
      <c r="N8" s="351"/>
      <c r="O8" s="351"/>
      <c r="P8" s="351"/>
      <c r="Q8" s="349"/>
    </row>
    <row r="9" spans="1:17" ht="48.75" customHeight="1">
      <c r="A9" s="66" t="s">
        <v>220</v>
      </c>
      <c r="B9" s="197"/>
      <c r="C9" s="197"/>
      <c r="D9" s="197"/>
      <c r="E9" s="197"/>
      <c r="F9" s="197"/>
      <c r="G9" s="197"/>
      <c r="H9" s="348"/>
      <c r="I9" s="349"/>
      <c r="J9" s="350"/>
      <c r="K9" s="348"/>
      <c r="L9" s="348"/>
      <c r="M9" s="350"/>
      <c r="N9" s="351"/>
      <c r="O9" s="351"/>
      <c r="P9" s="351"/>
      <c r="Q9" s="349"/>
    </row>
    <row r="10" spans="1:17" ht="48.75" customHeight="1">
      <c r="A10" s="66" t="s">
        <v>221</v>
      </c>
      <c r="B10" s="197"/>
      <c r="C10" s="197"/>
      <c r="D10" s="197"/>
      <c r="E10" s="197"/>
      <c r="F10" s="197"/>
      <c r="G10" s="197"/>
      <c r="H10" s="348"/>
      <c r="I10" s="349"/>
      <c r="J10" s="350"/>
      <c r="K10" s="348"/>
      <c r="L10" s="348"/>
      <c r="M10" s="350"/>
      <c r="N10" s="351"/>
      <c r="O10" s="351"/>
      <c r="P10" s="351"/>
      <c r="Q10" s="349"/>
    </row>
    <row r="11" spans="1:17" ht="48.75" customHeight="1">
      <c r="A11" s="66" t="s">
        <v>222</v>
      </c>
      <c r="B11" s="197"/>
      <c r="C11" s="197"/>
      <c r="D11" s="197"/>
      <c r="E11" s="197"/>
      <c r="F11" s="197"/>
      <c r="G11" s="197"/>
      <c r="H11" s="348"/>
      <c r="I11" s="349"/>
      <c r="J11" s="350"/>
      <c r="K11" s="348"/>
      <c r="L11" s="348"/>
      <c r="M11" s="350"/>
      <c r="N11" s="351"/>
      <c r="O11" s="351"/>
      <c r="P11" s="351"/>
      <c r="Q11" s="349"/>
    </row>
    <row r="12" spans="1:17" ht="48.75" customHeight="1">
      <c r="A12" s="66" t="s">
        <v>223</v>
      </c>
      <c r="B12" s="197"/>
      <c r="C12" s="197"/>
      <c r="D12" s="197"/>
      <c r="E12" s="197"/>
      <c r="F12" s="197"/>
      <c r="G12" s="197"/>
      <c r="H12" s="348"/>
      <c r="I12" s="349"/>
      <c r="J12" s="350"/>
      <c r="K12" s="348"/>
      <c r="L12" s="348"/>
      <c r="M12" s="350"/>
      <c r="N12" s="351"/>
      <c r="O12" s="351"/>
      <c r="P12" s="351"/>
      <c r="Q12" s="349"/>
    </row>
    <row r="13" spans="1:17" ht="48.75" customHeight="1">
      <c r="A13" s="66" t="s">
        <v>224</v>
      </c>
      <c r="B13" s="197"/>
      <c r="C13" s="197"/>
      <c r="D13" s="197"/>
      <c r="E13" s="197"/>
      <c r="F13" s="197"/>
      <c r="G13" s="197"/>
      <c r="H13" s="348"/>
      <c r="I13" s="349"/>
      <c r="J13" s="350"/>
      <c r="K13" s="348"/>
      <c r="L13" s="348"/>
      <c r="M13" s="350"/>
      <c r="N13" s="351"/>
      <c r="O13" s="351"/>
      <c r="P13" s="351"/>
      <c r="Q13" s="349"/>
    </row>
    <row r="14" spans="1:17" ht="48.75" customHeight="1">
      <c r="A14" s="66" t="s">
        <v>225</v>
      </c>
      <c r="B14" s="197"/>
      <c r="C14" s="197"/>
      <c r="D14" s="197"/>
      <c r="E14" s="197"/>
      <c r="F14" s="197"/>
      <c r="G14" s="197"/>
      <c r="H14" s="348"/>
      <c r="I14" s="349"/>
      <c r="J14" s="350"/>
      <c r="K14" s="348"/>
      <c r="L14" s="348"/>
      <c r="M14" s="350"/>
      <c r="N14" s="351"/>
      <c r="O14" s="351"/>
      <c r="P14" s="351"/>
      <c r="Q14" s="349"/>
    </row>
    <row r="15" spans="1:17" ht="48.75" customHeight="1">
      <c r="A15" s="66" t="s">
        <v>226</v>
      </c>
      <c r="B15" s="197"/>
      <c r="C15" s="197"/>
      <c r="D15" s="197"/>
      <c r="E15" s="197"/>
      <c r="F15" s="197"/>
      <c r="G15" s="197"/>
      <c r="H15" s="348"/>
      <c r="I15" s="349"/>
      <c r="J15" s="350"/>
      <c r="K15" s="348"/>
      <c r="L15" s="348"/>
      <c r="M15" s="350"/>
      <c r="N15" s="351"/>
      <c r="O15" s="351"/>
      <c r="P15" s="351"/>
      <c r="Q15" s="349"/>
    </row>
    <row r="16" spans="1:17" ht="48.75" customHeight="1">
      <c r="A16" s="66" t="s">
        <v>227</v>
      </c>
      <c r="B16" s="197"/>
      <c r="C16" s="197"/>
      <c r="D16" s="197"/>
      <c r="E16" s="197"/>
      <c r="F16" s="197"/>
      <c r="G16" s="197"/>
      <c r="H16" s="348"/>
      <c r="I16" s="349"/>
      <c r="J16" s="350"/>
      <c r="K16" s="348"/>
      <c r="L16" s="348"/>
      <c r="M16" s="350"/>
      <c r="N16" s="351"/>
      <c r="O16" s="351"/>
      <c r="P16" s="351"/>
      <c r="Q16" s="349"/>
    </row>
    <row r="17" spans="1:17" ht="48.75" customHeight="1">
      <c r="A17" s="66" t="s">
        <v>228</v>
      </c>
      <c r="B17" s="197"/>
      <c r="C17" s="197"/>
      <c r="D17" s="197"/>
      <c r="E17" s="197"/>
      <c r="F17" s="197"/>
      <c r="G17" s="197"/>
      <c r="H17" s="348"/>
      <c r="I17" s="349"/>
      <c r="J17" s="350"/>
      <c r="K17" s="348"/>
      <c r="L17" s="348"/>
      <c r="M17" s="350"/>
      <c r="N17" s="351"/>
      <c r="O17" s="351"/>
      <c r="P17" s="351"/>
      <c r="Q17" s="349"/>
    </row>
    <row r="18" spans="1:17" ht="48.75" customHeight="1">
      <c r="A18" s="66" t="s">
        <v>153</v>
      </c>
      <c r="B18" s="197"/>
      <c r="C18" s="197"/>
      <c r="D18" s="197"/>
      <c r="E18" s="197"/>
      <c r="F18" s="197"/>
      <c r="G18" s="197"/>
      <c r="H18" s="348"/>
      <c r="I18" s="349"/>
      <c r="J18" s="350"/>
      <c r="K18" s="348"/>
      <c r="L18" s="348"/>
      <c r="M18" s="350"/>
      <c r="N18" s="351"/>
      <c r="O18" s="351"/>
      <c r="P18" s="351"/>
      <c r="Q18" s="349"/>
    </row>
    <row r="19" spans="1:17" ht="48.75" customHeight="1">
      <c r="A19" s="66" t="s">
        <v>229</v>
      </c>
      <c r="B19" s="197"/>
      <c r="C19" s="197"/>
      <c r="D19" s="197"/>
      <c r="E19" s="197"/>
      <c r="F19" s="197"/>
      <c r="G19" s="197"/>
      <c r="H19" s="348"/>
      <c r="I19" s="349"/>
      <c r="J19" s="350"/>
      <c r="K19" s="348"/>
      <c r="L19" s="348"/>
      <c r="M19" s="350"/>
      <c r="N19" s="351"/>
      <c r="O19" s="351"/>
      <c r="P19" s="351"/>
      <c r="Q19" s="349"/>
    </row>
    <row r="20" spans="1:17" ht="48.75" customHeight="1">
      <c r="A20" s="66" t="s">
        <v>230</v>
      </c>
      <c r="B20" s="197"/>
      <c r="C20" s="197"/>
      <c r="D20" s="197"/>
      <c r="E20" s="197"/>
      <c r="F20" s="197"/>
      <c r="G20" s="197"/>
      <c r="H20" s="348"/>
      <c r="I20" s="349"/>
      <c r="J20" s="350"/>
      <c r="K20" s="348"/>
      <c r="L20" s="348"/>
      <c r="M20" s="350"/>
      <c r="N20" s="351"/>
      <c r="O20" s="351"/>
      <c r="P20" s="351"/>
      <c r="Q20" s="349"/>
    </row>
    <row r="21" spans="1:17" ht="48.75" customHeight="1">
      <c r="A21" s="66" t="s">
        <v>231</v>
      </c>
      <c r="B21" s="197"/>
      <c r="C21" s="197"/>
      <c r="D21" s="197"/>
      <c r="E21" s="197"/>
      <c r="F21" s="197"/>
      <c r="G21" s="197"/>
      <c r="H21" s="348"/>
      <c r="I21" s="349"/>
      <c r="J21" s="350"/>
      <c r="K21" s="348"/>
      <c r="L21" s="348"/>
      <c r="M21" s="350"/>
      <c r="N21" s="351"/>
      <c r="O21" s="351"/>
      <c r="P21" s="351"/>
      <c r="Q21" s="349"/>
    </row>
    <row r="22" spans="1:17" ht="48.75" customHeight="1">
      <c r="A22" s="66" t="s">
        <v>232</v>
      </c>
      <c r="B22" s="197"/>
      <c r="C22" s="197"/>
      <c r="D22" s="197"/>
      <c r="E22" s="197"/>
      <c r="F22" s="197"/>
      <c r="G22" s="197"/>
      <c r="H22" s="348"/>
      <c r="I22" s="349"/>
      <c r="J22" s="350"/>
      <c r="K22" s="348"/>
      <c r="L22" s="348"/>
      <c r="M22" s="350"/>
      <c r="N22" s="351"/>
      <c r="O22" s="351"/>
      <c r="P22" s="351"/>
      <c r="Q22" s="349"/>
    </row>
    <row r="23" spans="1:17" ht="48.75" customHeight="1">
      <c r="A23" s="66" t="s">
        <v>233</v>
      </c>
      <c r="B23" s="197"/>
      <c r="C23" s="197"/>
      <c r="D23" s="197"/>
      <c r="E23" s="197"/>
      <c r="F23" s="197"/>
      <c r="G23" s="197"/>
      <c r="H23" s="348"/>
      <c r="I23" s="349"/>
      <c r="J23" s="350"/>
      <c r="K23" s="348"/>
      <c r="L23" s="348"/>
      <c r="M23" s="350"/>
      <c r="N23" s="351"/>
      <c r="O23" s="351"/>
      <c r="P23" s="351"/>
      <c r="Q23" s="349"/>
    </row>
    <row r="24" spans="1:17" ht="48.75" customHeight="1">
      <c r="A24" s="66" t="s">
        <v>234</v>
      </c>
      <c r="B24" s="197"/>
      <c r="C24" s="197"/>
      <c r="D24" s="197"/>
      <c r="E24" s="197"/>
      <c r="F24" s="197"/>
      <c r="G24" s="197"/>
      <c r="H24" s="348"/>
      <c r="I24" s="349"/>
      <c r="J24" s="350"/>
      <c r="K24" s="348"/>
      <c r="L24" s="348"/>
      <c r="M24" s="350"/>
      <c r="N24" s="351"/>
      <c r="O24" s="351"/>
      <c r="P24" s="351"/>
      <c r="Q24" s="349"/>
    </row>
    <row r="25" spans="1:17" ht="48.75" customHeight="1">
      <c r="A25" s="66" t="s">
        <v>235</v>
      </c>
      <c r="B25" s="197"/>
      <c r="C25" s="197"/>
      <c r="D25" s="197"/>
      <c r="E25" s="197"/>
      <c r="F25" s="197"/>
      <c r="G25" s="197"/>
      <c r="H25" s="348"/>
      <c r="I25" s="349"/>
      <c r="J25" s="350"/>
      <c r="K25" s="348"/>
      <c r="L25" s="348"/>
      <c r="M25" s="350"/>
      <c r="N25" s="351"/>
      <c r="O25" s="351"/>
      <c r="P25" s="351"/>
      <c r="Q25" s="349"/>
    </row>
    <row r="26" spans="1:17" ht="48.75" customHeight="1">
      <c r="A26" s="66" t="s">
        <v>236</v>
      </c>
      <c r="B26" s="197"/>
      <c r="C26" s="197"/>
      <c r="D26" s="197"/>
      <c r="E26" s="197"/>
      <c r="F26" s="197"/>
      <c r="G26" s="197"/>
      <c r="H26" s="348"/>
      <c r="I26" s="349"/>
      <c r="J26" s="350"/>
      <c r="K26" s="348"/>
      <c r="L26" s="348"/>
      <c r="M26" s="350"/>
      <c r="N26" s="351"/>
      <c r="O26" s="351"/>
      <c r="P26" s="351"/>
      <c r="Q26" s="349"/>
    </row>
    <row r="27" spans="1:17" ht="48.75" customHeight="1">
      <c r="A27" s="66" t="s">
        <v>237</v>
      </c>
      <c r="B27" s="197"/>
      <c r="C27" s="197"/>
      <c r="D27" s="197"/>
      <c r="E27" s="197"/>
      <c r="F27" s="197"/>
      <c r="G27" s="197"/>
      <c r="H27" s="348"/>
      <c r="I27" s="349"/>
      <c r="J27" s="350"/>
      <c r="K27" s="348"/>
      <c r="L27" s="348"/>
      <c r="M27" s="350"/>
      <c r="N27" s="351"/>
      <c r="O27" s="351"/>
      <c r="P27" s="351"/>
      <c r="Q27" s="349"/>
    </row>
    <row r="28" spans="1:17" ht="48.75" customHeight="1">
      <c r="A28" s="66" t="s">
        <v>238</v>
      </c>
      <c r="B28" s="197"/>
      <c r="C28" s="197"/>
      <c r="D28" s="197"/>
      <c r="E28" s="197"/>
      <c r="F28" s="197"/>
      <c r="G28" s="197"/>
      <c r="H28" s="348"/>
      <c r="I28" s="349"/>
      <c r="J28" s="350"/>
      <c r="K28" s="348"/>
      <c r="L28" s="348"/>
      <c r="M28" s="350"/>
      <c r="N28" s="351"/>
      <c r="O28" s="351"/>
      <c r="P28" s="351"/>
      <c r="Q28" s="349"/>
    </row>
    <row r="29" spans="1:17" ht="48.75" customHeight="1">
      <c r="A29" s="66" t="s">
        <v>239</v>
      </c>
      <c r="B29" s="197"/>
      <c r="C29" s="197"/>
      <c r="D29" s="197"/>
      <c r="E29" s="197"/>
      <c r="F29" s="197"/>
      <c r="G29" s="197"/>
      <c r="H29" s="348"/>
      <c r="I29" s="349"/>
      <c r="J29" s="350"/>
      <c r="K29" s="348"/>
      <c r="L29" s="348"/>
      <c r="M29" s="350"/>
      <c r="N29" s="351"/>
      <c r="O29" s="351"/>
      <c r="P29" s="351"/>
      <c r="Q29" s="349"/>
    </row>
    <row r="30" spans="1:17" ht="48.75" customHeight="1">
      <c r="A30" s="66" t="s">
        <v>240</v>
      </c>
      <c r="B30" s="197"/>
      <c r="C30" s="197"/>
      <c r="D30" s="197"/>
      <c r="E30" s="197"/>
      <c r="F30" s="197"/>
      <c r="G30" s="197"/>
      <c r="H30" s="348"/>
      <c r="I30" s="349"/>
      <c r="J30" s="350"/>
      <c r="K30" s="348"/>
      <c r="L30" s="348"/>
      <c r="M30" s="350"/>
      <c r="N30" s="351"/>
      <c r="O30" s="351"/>
      <c r="P30" s="351"/>
      <c r="Q30" s="349"/>
    </row>
    <row r="39" ht="14.45"/>
    <row r="40" ht="14.45"/>
    <row r="41" ht="14.45"/>
  </sheetData>
  <autoFilter ref="A3:Q3" xr:uid="{BC7A2499-E053-435B-915C-087463CC28F8}"/>
  <mergeCells count="1">
    <mergeCell ref="A2:Q2"/>
  </mergeCells>
  <conditionalFormatting sqref="B4:G30">
    <cfRule type="cellIs" dxfId="166" priority="1" operator="equal">
      <formula>"N/A"</formula>
    </cfRule>
    <cfRule type="cellIs" dxfId="165" priority="2" operator="equal">
      <formula>"Not Reported"</formula>
    </cfRule>
    <cfRule type="cellIs" dxfId="164" priority="3" operator="equal">
      <formula>"Green"</formula>
    </cfRule>
    <cfRule type="cellIs" dxfId="163" priority="4" operator="equal">
      <formula>"Amber"</formula>
    </cfRule>
    <cfRule type="cellIs" dxfId="162" priority="5" operator="equal">
      <formula>"Red"</formula>
    </cfRule>
  </conditionalFormatting>
  <conditionalFormatting sqref="H4:H30">
    <cfRule type="cellIs" dxfId="161" priority="6" operator="equal">
      <formula>"N/A"</formula>
    </cfRule>
    <cfRule type="cellIs" dxfId="160" priority="7" operator="equal">
      <formula>"Red"</formula>
    </cfRule>
    <cfRule type="cellIs" dxfId="159" priority="8" operator="equal">
      <formula>"Amber"</formula>
    </cfRule>
    <cfRule type="cellIs" dxfId="158" priority="9" operator="equal">
      <formula>"Green"</formula>
    </cfRule>
  </conditionalFormatting>
  <dataValidations count="1">
    <dataValidation type="list" allowBlank="1" showInputMessage="1" showErrorMessage="1" sqref="B4:G30" xr:uid="{A3878088-21F4-4C2C-AA6C-F0B255DC7073}">
      <formula1>"Green, Red, Amber, Not Reported, In Progress, N/A"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C4478-26C0-4AAA-86EE-2559C4E649E6}">
  <sheetPr>
    <tabColor rgb="FF00B050"/>
  </sheetPr>
  <dimension ref="A1:N23"/>
  <sheetViews>
    <sheetView zoomScaleNormal="100" workbookViewId="0">
      <pane xSplit="1" ySplit="1" topLeftCell="D5" activePane="bottomRight" state="frozen"/>
      <selection pane="bottomRight" activeCell="H6" sqref="H6"/>
      <selection pane="bottomLeft" activeCell="A2" sqref="A2"/>
      <selection pane="topRight" activeCell="B1" sqref="B1"/>
    </sheetView>
  </sheetViews>
  <sheetFormatPr defaultColWidth="8.85546875" defaultRowHeight="14.25" customHeight="1"/>
  <cols>
    <col min="1" max="1" width="7.42578125" style="1" customWidth="1"/>
    <col min="2" max="2" width="36.28515625" style="1" customWidth="1"/>
    <col min="3" max="3" width="20.28515625" style="1" customWidth="1"/>
    <col min="4" max="4" width="21" style="1" customWidth="1"/>
    <col min="5" max="5" width="13.7109375" style="12" customWidth="1"/>
    <col min="6" max="7" width="25.7109375" style="12" customWidth="1"/>
    <col min="8" max="8" width="34.85546875" style="1" customWidth="1"/>
    <col min="9" max="9" width="24.85546875" style="1" customWidth="1"/>
    <col min="10" max="10" width="21" style="1" customWidth="1"/>
    <col min="11" max="11" width="21" style="17" customWidth="1"/>
    <col min="12" max="12" width="25" style="1" customWidth="1"/>
    <col min="13" max="13" width="26.5703125" style="99" bestFit="1" customWidth="1"/>
    <col min="14" max="14" width="28.140625" style="1" bestFit="1" customWidth="1"/>
    <col min="15" max="16384" width="8.85546875" style="1"/>
  </cols>
  <sheetData>
    <row r="1" spans="1:14" s="28" customFormat="1" ht="54.6" customHeight="1">
      <c r="A1" s="370" t="s">
        <v>241</v>
      </c>
      <c r="B1" s="370" t="s">
        <v>0</v>
      </c>
      <c r="C1" s="370" t="s">
        <v>14</v>
      </c>
      <c r="D1" s="370" t="s">
        <v>242</v>
      </c>
      <c r="E1" s="370" t="s">
        <v>243</v>
      </c>
      <c r="F1" s="370" t="s">
        <v>244</v>
      </c>
      <c r="G1" s="433" t="s">
        <v>245</v>
      </c>
      <c r="H1" s="370" t="s">
        <v>246</v>
      </c>
      <c r="I1" s="370" t="s">
        <v>247</v>
      </c>
      <c r="J1" s="370" t="s">
        <v>248</v>
      </c>
      <c r="K1" s="371" t="s">
        <v>249</v>
      </c>
      <c r="L1" s="370" t="s">
        <v>250</v>
      </c>
      <c r="M1" s="372" t="s">
        <v>251</v>
      </c>
      <c r="N1" s="370" t="s">
        <v>252</v>
      </c>
    </row>
    <row r="2" spans="1:14" ht="46.5" customHeight="1">
      <c r="A2" s="408" t="s">
        <v>253</v>
      </c>
      <c r="B2" s="385" t="s">
        <v>254</v>
      </c>
      <c r="C2" s="140" t="s">
        <v>255</v>
      </c>
      <c r="D2" s="140" t="s">
        <v>256</v>
      </c>
      <c r="E2" s="414" t="s">
        <v>257</v>
      </c>
      <c r="F2" s="470" t="s">
        <v>258</v>
      </c>
      <c r="G2" s="414" t="s">
        <v>259</v>
      </c>
      <c r="H2" s="427" t="s">
        <v>260</v>
      </c>
      <c r="I2" s="427" t="s">
        <v>261</v>
      </c>
      <c r="J2" s="427" t="s">
        <v>262</v>
      </c>
      <c r="K2" s="434" t="s">
        <v>263</v>
      </c>
      <c r="L2" s="413"/>
      <c r="M2" s="435" t="s">
        <v>264</v>
      </c>
      <c r="N2" s="440">
        <v>45985</v>
      </c>
    </row>
    <row r="3" spans="1:14" ht="14.25" customHeight="1">
      <c r="A3" s="408" t="s">
        <v>253</v>
      </c>
      <c r="B3" s="385" t="s">
        <v>217</v>
      </c>
      <c r="C3" s="140" t="s">
        <v>255</v>
      </c>
      <c r="D3" s="140" t="s">
        <v>265</v>
      </c>
      <c r="E3" s="453" t="s">
        <v>257</v>
      </c>
      <c r="F3" s="471" t="s">
        <v>266</v>
      </c>
      <c r="G3" s="414" t="s">
        <v>267</v>
      </c>
      <c r="H3" s="453" t="s">
        <v>266</v>
      </c>
      <c r="I3" s="427" t="s">
        <v>268</v>
      </c>
      <c r="J3" s="427" t="s">
        <v>269</v>
      </c>
      <c r="K3" s="429">
        <v>45982</v>
      </c>
      <c r="L3" s="459">
        <v>45983</v>
      </c>
      <c r="M3" s="415" t="s">
        <v>270</v>
      </c>
      <c r="N3" s="440">
        <v>45979</v>
      </c>
    </row>
    <row r="4" spans="1:14" s="15" customFormat="1" ht="101.45">
      <c r="A4" s="408" t="s">
        <v>253</v>
      </c>
      <c r="B4" s="385" t="s">
        <v>271</v>
      </c>
      <c r="C4" s="140" t="s">
        <v>272</v>
      </c>
      <c r="D4" s="140" t="s">
        <v>273</v>
      </c>
      <c r="E4" s="48" t="s">
        <v>274</v>
      </c>
      <c r="F4" s="414" t="s">
        <v>275</v>
      </c>
      <c r="G4" s="414" t="s">
        <v>259</v>
      </c>
      <c r="H4" s="427" t="s">
        <v>276</v>
      </c>
      <c r="I4" s="427" t="s">
        <v>277</v>
      </c>
      <c r="J4" s="427" t="s">
        <v>277</v>
      </c>
      <c r="K4" s="429" t="s">
        <v>263</v>
      </c>
      <c r="L4" s="416" t="s">
        <v>278</v>
      </c>
      <c r="M4" s="415" t="s">
        <v>279</v>
      </c>
      <c r="N4" s="440">
        <v>45955</v>
      </c>
    </row>
    <row r="5" spans="1:14" ht="14.25" customHeight="1">
      <c r="A5" s="408" t="s">
        <v>253</v>
      </c>
      <c r="B5" s="385" t="s">
        <v>218</v>
      </c>
      <c r="C5" s="140" t="s">
        <v>280</v>
      </c>
      <c r="D5" s="140" t="s">
        <v>256</v>
      </c>
      <c r="E5" s="48" t="s">
        <v>257</v>
      </c>
      <c r="F5" s="454" t="s">
        <v>281</v>
      </c>
      <c r="G5" s="454" t="s">
        <v>282</v>
      </c>
      <c r="H5" s="427" t="s">
        <v>283</v>
      </c>
      <c r="I5" s="427" t="s">
        <v>261</v>
      </c>
      <c r="J5" s="427" t="s">
        <v>284</v>
      </c>
      <c r="K5" s="429" t="s">
        <v>285</v>
      </c>
      <c r="L5" s="412"/>
      <c r="M5" s="419" t="s">
        <v>286</v>
      </c>
      <c r="N5" s="440">
        <v>45985</v>
      </c>
    </row>
    <row r="6" spans="1:14" ht="14.25" customHeight="1">
      <c r="A6" s="408" t="s">
        <v>253</v>
      </c>
      <c r="B6" s="385" t="s">
        <v>287</v>
      </c>
      <c r="C6" s="140" t="s">
        <v>280</v>
      </c>
      <c r="D6" s="140" t="s">
        <v>280</v>
      </c>
      <c r="E6" s="48" t="s">
        <v>288</v>
      </c>
      <c r="F6" s="465">
        <v>0.20833333333333334</v>
      </c>
      <c r="G6" s="48" t="s">
        <v>289</v>
      </c>
      <c r="H6" s="465">
        <v>0.20833333333333334</v>
      </c>
      <c r="I6" s="427" t="s">
        <v>290</v>
      </c>
      <c r="J6" s="62"/>
      <c r="K6" s="429" t="s">
        <v>263</v>
      </c>
      <c r="L6" s="413"/>
      <c r="M6" s="417" t="s">
        <v>42</v>
      </c>
      <c r="N6" s="467">
        <v>45981</v>
      </c>
    </row>
    <row r="7" spans="1:14" ht="14.25" customHeight="1">
      <c r="A7" s="408" t="s">
        <v>253</v>
      </c>
      <c r="B7" s="385" t="s">
        <v>291</v>
      </c>
      <c r="C7" s="140" t="s">
        <v>280</v>
      </c>
      <c r="D7" s="140" t="s">
        <v>256</v>
      </c>
      <c r="E7" s="48" t="s">
        <v>257</v>
      </c>
      <c r="F7" s="48" t="s">
        <v>292</v>
      </c>
      <c r="G7" s="48" t="s">
        <v>293</v>
      </c>
      <c r="H7" s="48" t="s">
        <v>294</v>
      </c>
      <c r="I7" s="449">
        <v>45983</v>
      </c>
      <c r="J7" s="427" t="s">
        <v>295</v>
      </c>
      <c r="K7" s="429" t="s">
        <v>285</v>
      </c>
      <c r="L7" s="412"/>
      <c r="M7" s="419" t="s">
        <v>296</v>
      </c>
      <c r="N7" s="440">
        <v>45985</v>
      </c>
    </row>
    <row r="8" spans="1:14" ht="188.45">
      <c r="A8" s="408" t="s">
        <v>253</v>
      </c>
      <c r="B8" s="385" t="s">
        <v>227</v>
      </c>
      <c r="C8" s="140" t="s">
        <v>280</v>
      </c>
      <c r="D8" s="140" t="s">
        <v>256</v>
      </c>
      <c r="E8" s="48" t="s">
        <v>257</v>
      </c>
      <c r="F8" s="455" t="s">
        <v>297</v>
      </c>
      <c r="G8" s="48" t="s">
        <v>298</v>
      </c>
      <c r="H8" s="427" t="s">
        <v>299</v>
      </c>
      <c r="I8" s="427" t="s">
        <v>300</v>
      </c>
      <c r="J8" s="427" t="s">
        <v>300</v>
      </c>
      <c r="K8" s="429" t="s">
        <v>263</v>
      </c>
      <c r="L8" s="412"/>
      <c r="M8" s="419" t="s">
        <v>301</v>
      </c>
      <c r="N8" s="440">
        <v>45985</v>
      </c>
    </row>
    <row r="9" spans="1:14" ht="14.25" customHeight="1">
      <c r="A9" s="408" t="s">
        <v>88</v>
      </c>
      <c r="B9" s="385" t="s">
        <v>302</v>
      </c>
      <c r="C9" s="140" t="s">
        <v>255</v>
      </c>
      <c r="D9" s="140" t="s">
        <v>303</v>
      </c>
      <c r="E9" s="48"/>
      <c r="F9" s="48"/>
      <c r="G9" s="48"/>
      <c r="H9" s="427"/>
      <c r="I9" s="427"/>
      <c r="J9" s="427"/>
      <c r="K9" s="429" t="s">
        <v>263</v>
      </c>
      <c r="L9" s="412"/>
      <c r="M9" s="419"/>
      <c r="N9" s="420"/>
    </row>
    <row r="10" spans="1:14" ht="14.25" customHeight="1">
      <c r="A10" s="408" t="s">
        <v>253</v>
      </c>
      <c r="B10" s="385" t="s">
        <v>224</v>
      </c>
      <c r="C10" s="140" t="s">
        <v>304</v>
      </c>
      <c r="D10" s="140" t="s">
        <v>280</v>
      </c>
      <c r="E10" s="48" t="s">
        <v>305</v>
      </c>
      <c r="F10" s="458" t="s">
        <v>306</v>
      </c>
      <c r="G10" s="48" t="s">
        <v>307</v>
      </c>
      <c r="H10" s="458" t="s">
        <v>306</v>
      </c>
      <c r="I10" s="418" t="s">
        <v>308</v>
      </c>
      <c r="J10" s="62" t="s">
        <v>309</v>
      </c>
      <c r="K10" s="429">
        <v>45982</v>
      </c>
      <c r="L10" s="412"/>
      <c r="M10" s="419" t="s">
        <v>42</v>
      </c>
      <c r="N10" s="420" t="s">
        <v>310</v>
      </c>
    </row>
    <row r="11" spans="1:14" ht="30.75" customHeight="1">
      <c r="A11" s="408" t="s">
        <v>253</v>
      </c>
      <c r="B11" s="385" t="s">
        <v>311</v>
      </c>
      <c r="C11" s="140" t="s">
        <v>255</v>
      </c>
      <c r="D11" s="140" t="s">
        <v>312</v>
      </c>
      <c r="E11" s="48" t="s">
        <v>313</v>
      </c>
      <c r="F11" s="48" t="s">
        <v>314</v>
      </c>
      <c r="G11" s="48" t="s">
        <v>315</v>
      </c>
      <c r="H11" s="46"/>
      <c r="I11" s="46" t="s">
        <v>300</v>
      </c>
      <c r="J11" s="46" t="s">
        <v>300</v>
      </c>
      <c r="K11" s="429" t="s">
        <v>24</v>
      </c>
      <c r="L11" s="412"/>
      <c r="M11" s="421" t="s">
        <v>316</v>
      </c>
      <c r="N11" s="422"/>
    </row>
    <row r="12" spans="1:14" ht="14.25" customHeight="1">
      <c r="A12" s="408" t="s">
        <v>253</v>
      </c>
      <c r="B12" s="385" t="s">
        <v>228</v>
      </c>
      <c r="C12" s="140" t="s">
        <v>255</v>
      </c>
      <c r="D12" s="140" t="s">
        <v>280</v>
      </c>
      <c r="E12" s="48" t="s">
        <v>305</v>
      </c>
      <c r="F12" s="466" t="s">
        <v>317</v>
      </c>
      <c r="G12" s="48" t="s">
        <v>318</v>
      </c>
      <c r="H12" s="466" t="s">
        <v>317</v>
      </c>
      <c r="I12" s="46" t="s">
        <v>24</v>
      </c>
      <c r="J12" s="46"/>
      <c r="K12" s="430" t="s">
        <v>263</v>
      </c>
      <c r="L12" s="412"/>
      <c r="M12" s="423" t="s">
        <v>42</v>
      </c>
      <c r="N12" s="424">
        <v>45982</v>
      </c>
    </row>
    <row r="13" spans="1:14" ht="14.25" customHeight="1">
      <c r="A13" s="408" t="s">
        <v>253</v>
      </c>
      <c r="B13" s="385" t="s">
        <v>123</v>
      </c>
      <c r="C13" s="140" t="s">
        <v>304</v>
      </c>
      <c r="D13" s="140" t="s">
        <v>319</v>
      </c>
      <c r="E13" s="48" t="s">
        <v>320</v>
      </c>
      <c r="F13" s="48" t="s">
        <v>321</v>
      </c>
      <c r="G13" s="457" t="s">
        <v>322</v>
      </c>
      <c r="H13" s="412" t="s">
        <v>323</v>
      </c>
      <c r="I13" s="412"/>
      <c r="J13" s="412"/>
      <c r="K13" s="439">
        <v>45983</v>
      </c>
      <c r="L13" s="412" t="s">
        <v>324</v>
      </c>
      <c r="M13" s="419" t="s">
        <v>325</v>
      </c>
      <c r="N13" s="440">
        <v>45985</v>
      </c>
    </row>
    <row r="14" spans="1:14" ht="14.25" customHeight="1">
      <c r="A14" s="408" t="s">
        <v>253</v>
      </c>
      <c r="B14" s="385" t="s">
        <v>223</v>
      </c>
      <c r="C14" s="140" t="s">
        <v>304</v>
      </c>
      <c r="D14" s="140" t="s">
        <v>303</v>
      </c>
      <c r="E14" s="414"/>
      <c r="F14" s="48"/>
      <c r="G14" s="48"/>
      <c r="H14" s="436"/>
      <c r="I14" s="436"/>
      <c r="J14" s="436"/>
      <c r="K14" s="434">
        <v>45983</v>
      </c>
      <c r="L14" s="412"/>
      <c r="M14" s="425"/>
      <c r="N14" s="422"/>
    </row>
    <row r="15" spans="1:14" ht="14.25" customHeight="1">
      <c r="A15" s="408" t="s">
        <v>253</v>
      </c>
      <c r="B15" s="385" t="s">
        <v>326</v>
      </c>
      <c r="C15" s="140" t="s">
        <v>280</v>
      </c>
      <c r="D15" s="140" t="s">
        <v>280</v>
      </c>
      <c r="E15" s="48" t="s">
        <v>305</v>
      </c>
      <c r="F15" s="458" t="s">
        <v>327</v>
      </c>
      <c r="G15" s="48" t="s">
        <v>328</v>
      </c>
      <c r="H15" s="458" t="s">
        <v>327</v>
      </c>
      <c r="I15" s="418" t="s">
        <v>24</v>
      </c>
      <c r="J15" s="418"/>
      <c r="K15" s="430" t="s">
        <v>263</v>
      </c>
      <c r="L15" s="412"/>
      <c r="M15" s="426" t="s">
        <v>42</v>
      </c>
      <c r="N15" s="424">
        <v>45982</v>
      </c>
    </row>
    <row r="16" spans="1:14" ht="14.25" customHeight="1">
      <c r="A16" s="408" t="s">
        <v>253</v>
      </c>
      <c r="B16" s="385" t="s">
        <v>153</v>
      </c>
      <c r="C16" s="140" t="s">
        <v>255</v>
      </c>
      <c r="D16" s="140" t="s">
        <v>312</v>
      </c>
      <c r="E16" s="48" t="s">
        <v>313</v>
      </c>
      <c r="F16" s="48" t="s">
        <v>314</v>
      </c>
      <c r="G16" s="48" t="s">
        <v>315</v>
      </c>
      <c r="H16" s="464" t="s">
        <v>329</v>
      </c>
      <c r="I16" s="418" t="s">
        <v>300</v>
      </c>
      <c r="J16" s="418" t="s">
        <v>300</v>
      </c>
      <c r="K16" s="431">
        <v>45982</v>
      </c>
      <c r="L16" s="412" t="s">
        <v>324</v>
      </c>
      <c r="M16" s="419" t="s">
        <v>44</v>
      </c>
      <c r="N16" s="420">
        <v>45972</v>
      </c>
    </row>
    <row r="17" spans="1:14" ht="14.25" customHeight="1">
      <c r="A17" s="408" t="s">
        <v>88</v>
      </c>
      <c r="B17" s="385" t="s">
        <v>330</v>
      </c>
      <c r="C17" s="140" t="s">
        <v>304</v>
      </c>
      <c r="D17" s="140" t="s">
        <v>303</v>
      </c>
      <c r="E17" s="48"/>
      <c r="F17" s="48"/>
      <c r="G17" s="48"/>
      <c r="H17" s="46"/>
      <c r="I17" s="46"/>
      <c r="J17" s="46"/>
      <c r="K17" s="429">
        <v>45976</v>
      </c>
      <c r="L17" s="413"/>
      <c r="M17" s="426"/>
      <c r="N17" s="422"/>
    </row>
    <row r="18" spans="1:14" ht="14.25" customHeight="1">
      <c r="A18" s="408" t="s">
        <v>253</v>
      </c>
      <c r="B18" s="385" t="s">
        <v>331</v>
      </c>
      <c r="C18" s="411" t="s">
        <v>332</v>
      </c>
      <c r="D18" s="410" t="s">
        <v>333</v>
      </c>
      <c r="E18" s="48" t="s">
        <v>320</v>
      </c>
      <c r="F18" s="458"/>
      <c r="G18" s="48" t="s">
        <v>307</v>
      </c>
      <c r="H18" s="367" t="s">
        <v>334</v>
      </c>
      <c r="I18" s="367" t="s">
        <v>335</v>
      </c>
      <c r="J18" s="443" t="s">
        <v>336</v>
      </c>
      <c r="K18" s="429">
        <v>45983</v>
      </c>
      <c r="L18" s="412"/>
      <c r="M18" s="426" t="s">
        <v>325</v>
      </c>
      <c r="N18" s="440">
        <v>45985</v>
      </c>
    </row>
    <row r="19" spans="1:14" ht="14.25" customHeight="1">
      <c r="A19" s="408" t="s">
        <v>253</v>
      </c>
      <c r="B19" s="385" t="s">
        <v>337</v>
      </c>
      <c r="C19" s="140" t="s">
        <v>304</v>
      </c>
      <c r="D19" s="410" t="s">
        <v>338</v>
      </c>
      <c r="E19" s="48" t="s">
        <v>320</v>
      </c>
      <c r="F19" s="456">
        <v>0.375</v>
      </c>
      <c r="G19" s="456">
        <v>0.70833333333333337</v>
      </c>
      <c r="H19" s="441" t="s">
        <v>339</v>
      </c>
      <c r="I19" s="436" t="s">
        <v>300</v>
      </c>
      <c r="J19" s="427" t="s">
        <v>300</v>
      </c>
      <c r="K19" s="429">
        <v>45983</v>
      </c>
      <c r="L19" s="412" t="s">
        <v>340</v>
      </c>
      <c r="M19" s="426" t="s">
        <v>341</v>
      </c>
      <c r="N19" s="440">
        <v>45985</v>
      </c>
    </row>
    <row r="20" spans="1:14" ht="14.25" customHeight="1">
      <c r="A20" s="408" t="s">
        <v>253</v>
      </c>
      <c r="B20" s="385" t="s">
        <v>220</v>
      </c>
      <c r="C20" s="140" t="s">
        <v>304</v>
      </c>
      <c r="D20" s="140" t="s">
        <v>319</v>
      </c>
      <c r="E20" s="414" t="s">
        <v>320</v>
      </c>
      <c r="F20" s="48" t="s">
        <v>342</v>
      </c>
      <c r="G20" s="457" t="s">
        <v>343</v>
      </c>
      <c r="H20" s="412" t="s">
        <v>342</v>
      </c>
      <c r="I20" s="436" t="s">
        <v>344</v>
      </c>
      <c r="J20" s="412" t="s">
        <v>345</v>
      </c>
      <c r="K20" s="439">
        <v>45982</v>
      </c>
      <c r="L20" s="412" t="s">
        <v>346</v>
      </c>
      <c r="M20" s="426" t="s">
        <v>341</v>
      </c>
      <c r="N20" s="440">
        <v>45985</v>
      </c>
    </row>
    <row r="21" spans="1:14" ht="14.25" customHeight="1">
      <c r="A21" s="408" t="s">
        <v>253</v>
      </c>
      <c r="B21" s="385" t="s">
        <v>225</v>
      </c>
      <c r="C21" s="140" t="s">
        <v>304</v>
      </c>
      <c r="D21" s="140" t="s">
        <v>303</v>
      </c>
      <c r="E21" s="48"/>
      <c r="F21" s="48"/>
      <c r="G21" s="48"/>
      <c r="H21" s="436"/>
      <c r="I21" s="436"/>
      <c r="J21" s="436"/>
      <c r="K21" s="434">
        <v>45983</v>
      </c>
      <c r="L21" s="437"/>
      <c r="M21" s="426"/>
      <c r="N21" s="438"/>
    </row>
    <row r="22" spans="1:14" ht="14.25" customHeight="1">
      <c r="A22" s="408" t="s">
        <v>253</v>
      </c>
      <c r="B22" s="385" t="s">
        <v>347</v>
      </c>
      <c r="C22" s="140" t="s">
        <v>280</v>
      </c>
      <c r="D22" s="140" t="s">
        <v>348</v>
      </c>
      <c r="E22" s="48" t="s">
        <v>320</v>
      </c>
      <c r="F22" s="469" t="s">
        <v>349</v>
      </c>
      <c r="G22" s="456">
        <v>0.79166666666666663</v>
      </c>
      <c r="H22" s="436" t="s">
        <v>350</v>
      </c>
      <c r="I22" s="436" t="s">
        <v>351</v>
      </c>
      <c r="J22" s="436" t="s">
        <v>352</v>
      </c>
      <c r="K22" s="429">
        <v>45983</v>
      </c>
      <c r="L22" s="412" t="s">
        <v>353</v>
      </c>
      <c r="M22" s="412" t="s">
        <v>354</v>
      </c>
      <c r="N22" s="46" t="s">
        <v>355</v>
      </c>
    </row>
    <row r="23" spans="1:14" ht="14.25" customHeight="1" thickBot="1">
      <c r="A23" s="409" t="s">
        <v>253</v>
      </c>
      <c r="B23" s="385" t="s">
        <v>230</v>
      </c>
      <c r="C23" s="140" t="s">
        <v>280</v>
      </c>
      <c r="D23" s="140" t="s">
        <v>280</v>
      </c>
      <c r="E23" s="48" t="s">
        <v>356</v>
      </c>
      <c r="F23" s="458" t="s">
        <v>357</v>
      </c>
      <c r="G23" s="48" t="s">
        <v>289</v>
      </c>
      <c r="H23" s="458" t="s">
        <v>357</v>
      </c>
      <c r="I23" s="436" t="s">
        <v>290</v>
      </c>
      <c r="J23" s="436"/>
      <c r="K23" s="430" t="s">
        <v>263</v>
      </c>
      <c r="L23" s="412"/>
      <c r="M23" s="412" t="s">
        <v>42</v>
      </c>
      <c r="N23" s="428">
        <v>45965</v>
      </c>
    </row>
  </sheetData>
  <autoFilter ref="A1:N23" xr:uid="{ADFC4478-26C0-4AAA-86EE-2559C4E649E6}"/>
  <conditionalFormatting sqref="A2:A23">
    <cfRule type="cellIs" dxfId="157" priority="19" operator="equal">
      <formula>"TBD"</formula>
    </cfRule>
    <cfRule type="cellIs" dxfId="156" priority="20" operator="equal">
      <formula>"N/A"</formula>
    </cfRule>
    <cfRule type="cellIs" dxfId="155" priority="21" operator="equal">
      <formula>"Complete"</formula>
    </cfRule>
    <cfRule type="cellIs" dxfId="154" priority="22" operator="equal">
      <formula>"Green"</formula>
    </cfRule>
    <cfRule type="cellIs" dxfId="153" priority="23" operator="equal">
      <formula>"Amber"</formula>
    </cfRule>
    <cfRule type="cellIs" dxfId="152" priority="24" operator="equal">
      <formula>"RED"</formula>
    </cfRule>
  </conditionalFormatting>
  <conditionalFormatting sqref="B2:B23">
    <cfRule type="cellIs" dxfId="151" priority="25" operator="equal">
      <formula>"Issue Reported"</formula>
    </cfRule>
  </conditionalFormatting>
  <conditionalFormatting sqref="C2:D23">
    <cfRule type="cellIs" dxfId="150" priority="7" operator="equal">
      <formula>"TBD"</formula>
    </cfRule>
    <cfRule type="cellIs" dxfId="149" priority="8" operator="equal">
      <formula>"N/A"</formula>
    </cfRule>
    <cfRule type="cellIs" dxfId="148" priority="9" operator="equal">
      <formula>"Complete"</formula>
    </cfRule>
    <cfRule type="cellIs" dxfId="147" priority="10" operator="equal">
      <formula>"Green"</formula>
    </cfRule>
    <cfRule type="cellIs" dxfId="146" priority="11" operator="equal">
      <formula>"Amber"</formula>
    </cfRule>
    <cfRule type="cellIs" dxfId="145" priority="12" operator="equal">
      <formula>"RED"</formula>
    </cfRule>
  </conditionalFormatting>
  <conditionalFormatting sqref="K2:K23">
    <cfRule type="cellIs" dxfId="144" priority="1" operator="equal">
      <formula>"TBD"</formula>
    </cfRule>
    <cfRule type="cellIs" dxfId="143" priority="2" operator="equal">
      <formula>"N/A"</formula>
    </cfRule>
    <cfRule type="cellIs" dxfId="142" priority="3" operator="equal">
      <formula>"Complete"</formula>
    </cfRule>
    <cfRule type="cellIs" dxfId="141" priority="4" operator="equal">
      <formula>"Green"</formula>
    </cfRule>
    <cfRule type="cellIs" dxfId="140" priority="5" operator="equal">
      <formula>"Amber"</formula>
    </cfRule>
    <cfRule type="cellIs" dxfId="139" priority="6" operator="equal">
      <formula>"RED"</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67F10-3795-47A9-9D95-025390B0A9F7}">
  <sheetPr>
    <tabColor theme="9"/>
  </sheetPr>
  <dimension ref="A1:K29"/>
  <sheetViews>
    <sheetView zoomScale="85" zoomScaleNormal="85" workbookViewId="0">
      <pane xSplit="1" ySplit="5" topLeftCell="B6" activePane="bottomRight" state="frozen"/>
      <selection pane="bottomRight" activeCell="C8" sqref="C8"/>
      <selection pane="bottomLeft"/>
      <selection pane="topRight"/>
    </sheetView>
  </sheetViews>
  <sheetFormatPr defaultColWidth="9.140625" defaultRowHeight="14.45"/>
  <cols>
    <col min="1" max="1" width="19.42578125" style="46" customWidth="1"/>
    <col min="2" max="2" width="39.5703125" style="48" bestFit="1" customWidth="1"/>
    <col min="3" max="3" width="11.7109375" style="48" bestFit="1" customWidth="1"/>
    <col min="4" max="4" width="9.5703125" style="48" customWidth="1"/>
    <col min="5" max="5" width="12.140625" style="48" customWidth="1"/>
    <col min="6" max="6" width="27.5703125" style="46" customWidth="1"/>
    <col min="7" max="9" width="16.85546875" style="48" customWidth="1"/>
    <col min="10" max="10" width="24" style="46" customWidth="1"/>
    <col min="11" max="11" width="55.85546875" style="46" customWidth="1"/>
    <col min="12" max="14" width="0.85546875" style="46" customWidth="1"/>
    <col min="15" max="16384" width="9.140625" style="46"/>
  </cols>
  <sheetData>
    <row r="1" spans="1:11">
      <c r="A1" s="389" t="s">
        <v>358</v>
      </c>
    </row>
    <row r="2" spans="1:11">
      <c r="A2" s="475" t="s">
        <v>359</v>
      </c>
      <c r="B2" s="476"/>
      <c r="C2" s="476"/>
      <c r="D2" s="476"/>
      <c r="E2" s="476"/>
      <c r="F2" s="476"/>
      <c r="G2" s="476"/>
      <c r="H2" s="476"/>
      <c r="I2" s="476"/>
      <c r="J2" s="476"/>
      <c r="K2" s="476"/>
    </row>
    <row r="3" spans="1:11" ht="18" customHeight="1">
      <c r="A3" s="475" t="s">
        <v>360</v>
      </c>
      <c r="B3" s="476"/>
      <c r="C3" s="476"/>
      <c r="D3" s="476"/>
      <c r="E3" s="476"/>
      <c r="F3" s="476"/>
      <c r="G3" s="476"/>
      <c r="H3" s="476"/>
      <c r="I3" s="476"/>
      <c r="J3" s="476"/>
      <c r="K3" s="476"/>
    </row>
    <row r="4" spans="1:11" ht="30.75" customHeight="1">
      <c r="A4" s="476" t="s">
        <v>361</v>
      </c>
      <c r="B4" s="476"/>
      <c r="C4" s="476"/>
      <c r="D4" s="476"/>
      <c r="E4" s="476"/>
      <c r="F4" s="476"/>
      <c r="G4" s="476"/>
      <c r="H4" s="476"/>
      <c r="I4" s="476"/>
      <c r="J4" s="476"/>
      <c r="K4" s="476"/>
    </row>
    <row r="5" spans="1:11" s="392" customFormat="1" ht="24" customHeight="1">
      <c r="A5" s="390" t="s">
        <v>362</v>
      </c>
      <c r="B5" s="391" t="s">
        <v>363</v>
      </c>
      <c r="C5" s="391" t="s">
        <v>364</v>
      </c>
      <c r="D5" s="391" t="s">
        <v>365</v>
      </c>
      <c r="E5" s="391" t="s">
        <v>366</v>
      </c>
      <c r="F5" s="391" t="s">
        <v>367</v>
      </c>
      <c r="G5" s="391" t="s">
        <v>368</v>
      </c>
      <c r="H5" s="391" t="s">
        <v>369</v>
      </c>
      <c r="I5" s="391" t="s">
        <v>370</v>
      </c>
      <c r="J5" s="390" t="s">
        <v>371</v>
      </c>
      <c r="K5" s="390" t="s">
        <v>372</v>
      </c>
    </row>
    <row r="6" spans="1:11" ht="24" customHeight="1">
      <c r="A6" s="364" t="s">
        <v>373</v>
      </c>
      <c r="B6" s="197" t="s">
        <v>374</v>
      </c>
      <c r="C6" s="388" t="s">
        <v>375</v>
      </c>
      <c r="D6" s="197" t="s">
        <v>24</v>
      </c>
      <c r="E6" s="197" t="s">
        <v>376</v>
      </c>
      <c r="F6" s="365"/>
      <c r="G6" s="139"/>
      <c r="H6" s="139" t="s">
        <v>377</v>
      </c>
      <c r="I6" s="140" t="s">
        <v>27</v>
      </c>
      <c r="J6" s="138" t="s">
        <v>21</v>
      </c>
      <c r="K6" s="366" t="s">
        <v>378</v>
      </c>
    </row>
    <row r="7" spans="1:11" ht="24" customHeight="1">
      <c r="A7" s="367" t="s">
        <v>379</v>
      </c>
      <c r="B7" s="197" t="s">
        <v>380</v>
      </c>
      <c r="C7" s="369" t="s">
        <v>381</v>
      </c>
      <c r="D7" s="198" t="s">
        <v>24</v>
      </c>
      <c r="E7" s="198" t="s">
        <v>376</v>
      </c>
      <c r="G7" s="55">
        <v>45850.550694444442</v>
      </c>
      <c r="H7" s="48" t="s">
        <v>382</v>
      </c>
      <c r="I7" s="48" t="s">
        <v>27</v>
      </c>
      <c r="J7" s="46" t="s">
        <v>50</v>
      </c>
      <c r="K7" s="46" t="s">
        <v>383</v>
      </c>
    </row>
    <row r="8" spans="1:11" ht="24" customHeight="1">
      <c r="A8" s="367" t="s">
        <v>384</v>
      </c>
      <c r="B8" s="197" t="s">
        <v>374</v>
      </c>
      <c r="C8" s="388" t="s">
        <v>385</v>
      </c>
      <c r="D8" s="198" t="s">
        <v>24</v>
      </c>
      <c r="E8" s="198" t="s">
        <v>376</v>
      </c>
      <c r="G8" s="55">
        <v>45851.486111111109</v>
      </c>
      <c r="H8" s="149" t="s">
        <v>386</v>
      </c>
      <c r="I8" s="48" t="s">
        <v>27</v>
      </c>
      <c r="J8" s="46" t="s">
        <v>37</v>
      </c>
      <c r="K8" s="46" t="s">
        <v>387</v>
      </c>
    </row>
    <row r="9" spans="1:11" ht="24" customHeight="1">
      <c r="A9" s="367" t="s">
        <v>20</v>
      </c>
      <c r="B9" s="198" t="s">
        <v>374</v>
      </c>
      <c r="C9" s="369" t="s">
        <v>388</v>
      </c>
      <c r="D9" s="198" t="s">
        <v>24</v>
      </c>
      <c r="E9" s="198" t="s">
        <v>376</v>
      </c>
      <c r="G9" s="55">
        <v>45851.916666666664</v>
      </c>
      <c r="H9" s="48" t="s">
        <v>389</v>
      </c>
      <c r="I9" s="48" t="s">
        <v>27</v>
      </c>
      <c r="J9" s="46" t="s">
        <v>50</v>
      </c>
      <c r="K9" s="367" t="s">
        <v>390</v>
      </c>
    </row>
    <row r="10" spans="1:11" ht="57.95">
      <c r="A10" s="367" t="s">
        <v>148</v>
      </c>
      <c r="B10" s="48" t="s">
        <v>391</v>
      </c>
      <c r="C10" s="393" t="s">
        <v>392</v>
      </c>
      <c r="D10" s="48" t="s">
        <v>72</v>
      </c>
      <c r="E10" s="198">
        <v>2</v>
      </c>
      <c r="G10" s="149"/>
      <c r="H10" s="149" t="s">
        <v>393</v>
      </c>
      <c r="I10" s="48" t="s">
        <v>42</v>
      </c>
      <c r="J10" s="46" t="s">
        <v>394</v>
      </c>
      <c r="K10" s="46" t="s">
        <v>395</v>
      </c>
    </row>
    <row r="11" spans="1:11" ht="57.95">
      <c r="A11" s="367" t="s">
        <v>396</v>
      </c>
      <c r="B11" s="197" t="s">
        <v>397</v>
      </c>
      <c r="C11" s="369" t="s">
        <v>398</v>
      </c>
      <c r="D11" s="198" t="s">
        <v>24</v>
      </c>
      <c r="E11" s="198" t="s">
        <v>376</v>
      </c>
      <c r="F11" s="274"/>
      <c r="G11" s="48" t="s">
        <v>399</v>
      </c>
      <c r="H11" s="48" t="s">
        <v>400</v>
      </c>
      <c r="I11" s="48" t="s">
        <v>27</v>
      </c>
      <c r="J11" s="46" t="s">
        <v>167</v>
      </c>
      <c r="K11" s="46" t="s">
        <v>401</v>
      </c>
    </row>
    <row r="12" spans="1:11" ht="29.1">
      <c r="A12" s="367" t="s">
        <v>384</v>
      </c>
      <c r="B12" s="198" t="s">
        <v>402</v>
      </c>
      <c r="C12" s="198" t="s">
        <v>403</v>
      </c>
      <c r="D12" s="198" t="s">
        <v>285</v>
      </c>
      <c r="E12" s="198" t="s">
        <v>376</v>
      </c>
      <c r="G12" s="55" t="s">
        <v>404</v>
      </c>
      <c r="H12" s="48" t="s">
        <v>405</v>
      </c>
      <c r="J12" s="46" t="s">
        <v>37</v>
      </c>
      <c r="K12" s="368" t="s">
        <v>406</v>
      </c>
    </row>
    <row r="13" spans="1:11" ht="43.5">
      <c r="A13" s="367" t="s">
        <v>407</v>
      </c>
      <c r="B13" s="198" t="s">
        <v>374</v>
      </c>
      <c r="C13" s="369" t="s">
        <v>408</v>
      </c>
      <c r="D13" s="198" t="s">
        <v>24</v>
      </c>
      <c r="E13" s="198" t="s">
        <v>409</v>
      </c>
      <c r="G13" s="55" t="s">
        <v>410</v>
      </c>
      <c r="H13" s="55" t="s">
        <v>382</v>
      </c>
      <c r="J13" s="46" t="s">
        <v>50</v>
      </c>
      <c r="K13" s="46" t="s">
        <v>411</v>
      </c>
    </row>
    <row r="14" spans="1:11" ht="72.599999999999994">
      <c r="A14" s="367" t="s">
        <v>412</v>
      </c>
      <c r="B14" s="48" t="s">
        <v>391</v>
      </c>
      <c r="C14" s="397" t="s">
        <v>413</v>
      </c>
      <c r="D14" s="48" t="s">
        <v>24</v>
      </c>
      <c r="E14" s="48" t="s">
        <v>409</v>
      </c>
      <c r="G14" s="55" t="s">
        <v>414</v>
      </c>
      <c r="H14" s="48" t="s">
        <v>389</v>
      </c>
      <c r="J14" s="46" t="s">
        <v>50</v>
      </c>
      <c r="K14" s="46" t="s">
        <v>415</v>
      </c>
    </row>
    <row r="15" spans="1:11" ht="29.1">
      <c r="A15" s="367" t="s">
        <v>416</v>
      </c>
      <c r="B15" s="48" t="s">
        <v>417</v>
      </c>
      <c r="C15" s="48" t="s">
        <v>418</v>
      </c>
      <c r="D15" s="48" t="s">
        <v>419</v>
      </c>
      <c r="H15" s="48" t="s">
        <v>420</v>
      </c>
      <c r="J15" s="46" t="s">
        <v>421</v>
      </c>
      <c r="K15" s="46" t="s">
        <v>422</v>
      </c>
    </row>
    <row r="16" spans="1:11" ht="290.10000000000002">
      <c r="A16" s="367" t="s">
        <v>148</v>
      </c>
      <c r="C16" s="387" t="s">
        <v>423</v>
      </c>
      <c r="E16" s="48">
        <v>2</v>
      </c>
      <c r="G16" s="48" t="s">
        <v>314</v>
      </c>
      <c r="I16" s="48" t="s">
        <v>42</v>
      </c>
      <c r="J16" s="46" t="s">
        <v>394</v>
      </c>
      <c r="K16" s="46" t="s">
        <v>424</v>
      </c>
    </row>
    <row r="17" spans="1:11" ht="15" customHeight="1">
      <c r="A17" s="367" t="s">
        <v>148</v>
      </c>
      <c r="C17" s="398" t="s">
        <v>425</v>
      </c>
      <c r="E17" s="48">
        <v>2</v>
      </c>
      <c r="I17" s="48" t="s">
        <v>42</v>
      </c>
      <c r="J17" s="46" t="s">
        <v>394</v>
      </c>
      <c r="K17" s="46" t="s">
        <v>426</v>
      </c>
    </row>
    <row r="18" spans="1:11">
      <c r="A18" s="367"/>
      <c r="G18" s="55"/>
      <c r="H18" s="55"/>
    </row>
    <row r="19" spans="1:11">
      <c r="A19" s="367"/>
      <c r="G19" s="56"/>
      <c r="H19" s="56"/>
    </row>
    <row r="20" spans="1:11">
      <c r="A20" s="367"/>
    </row>
    <row r="21" spans="1:11" ht="19.5" customHeight="1">
      <c r="A21" s="367"/>
      <c r="C21" s="386"/>
    </row>
    <row r="22" spans="1:11">
      <c r="A22" s="367"/>
    </row>
    <row r="23" spans="1:11">
      <c r="A23" s="367"/>
    </row>
    <row r="24" spans="1:11">
      <c r="A24" s="367"/>
      <c r="C24" s="386"/>
    </row>
    <row r="25" spans="1:11">
      <c r="A25" s="367"/>
    </row>
    <row r="26" spans="1:11">
      <c r="A26" s="367"/>
    </row>
    <row r="27" spans="1:11">
      <c r="A27" s="367"/>
    </row>
    <row r="28" spans="1:11">
      <c r="A28" s="367"/>
    </row>
    <row r="29" spans="1:11">
      <c r="A29" s="367"/>
    </row>
  </sheetData>
  <autoFilter ref="A5:K5" xr:uid="{40C67F10-3795-47A9-9D95-025390B0A9F7}"/>
  <mergeCells count="3">
    <mergeCell ref="A2:K2"/>
    <mergeCell ref="A3:K3"/>
    <mergeCell ref="A4:K4"/>
  </mergeCells>
  <conditionalFormatting sqref="B6 B7:E7 B8 B9:E9 B11:E20 B21:B22 B23:E23 B24 B25:E29 D6:E6 D8:E8 C10 E10 E21 D22:E22 E24">
    <cfRule type="containsText" dxfId="138" priority="4" operator="containsText" text="Red">
      <formula>NOT(ISERROR(SEARCH("Red",B6)))</formula>
    </cfRule>
  </conditionalFormatting>
  <conditionalFormatting sqref="B6:B9 B11:B30">
    <cfRule type="containsText" dxfId="137" priority="1" operator="containsText" text="Resolved">
      <formula>NOT(ISERROR(SEARCH("Resolved",B6)))</formula>
    </cfRule>
    <cfRule type="containsText" dxfId="136" priority="3" operator="containsText" text="Customer">
      <formula>NOT(ISERROR(SEARCH("Customer",B6)))</formula>
    </cfRule>
    <cfRule type="notContainsText" dxfId="135" priority="5" operator="notContains" text="Resolved">
      <formula>ISERROR(SEARCH("Resolved",B6))</formula>
    </cfRule>
    <cfRule type="containsBlanks" dxfId="134" priority="5">
      <formula>LEN(TRIM(B6))=0</formula>
    </cfRule>
  </conditionalFormatting>
  <hyperlinks>
    <hyperlink ref="C6" r:id="rId1" display="https://gojira.am.tsacorp.com/browse/H24-683656" xr:uid="{B79EF0A0-F377-4A59-928F-5D6D29C5836D}"/>
    <hyperlink ref="C7" r:id="rId2" display="https://gojira.am.tsacorp.com/browse/H24-683661" xr:uid="{F1CEF4B9-AD95-4284-BAC7-C421C68C6A84}"/>
    <hyperlink ref="C8" r:id="rId3" display="https://gojira.am.tsacorp.com/browse/H24-683666" xr:uid="{F21CC336-81A9-4488-987D-ED2A686E087B}"/>
    <hyperlink ref="C9" r:id="rId4" display="https://gojira.am.tsacorp.com/browse/H24-683707" xr:uid="{F5E58A3A-441E-4A2A-84C6-A27750FB9DDA}"/>
    <hyperlink ref="C10" r:id="rId5" xr:uid="{E7D5F2D9-1A06-40F0-935E-A26DF922540E}"/>
    <hyperlink ref="C11" r:id="rId6" xr:uid="{92820E16-3B67-4018-A4B9-F05C6A1970E8}"/>
    <hyperlink ref="C13" r:id="rId7" display="https://gojira.am.tsacorp.com/browse/H24-683802" xr:uid="{D67A1B15-ABA6-40A4-8788-37FB07518361}"/>
    <hyperlink ref="C14" r:id="rId8" display="https://gojira.am.tsacorp.com/browse/H24-683822" xr:uid="{B66EA5A0-2A39-4124-936F-8598673A06F8}"/>
    <hyperlink ref="C16" r:id="rId9" xr:uid="{A20FFFF7-7873-496A-8EAC-959422A363ED}"/>
    <hyperlink ref="C17" r:id="rId10" xr:uid="{2FD98473-CB97-4134-89DB-930F725A66D5}"/>
  </hyperlinks>
  <pageMargins left="0.7" right="0.7" top="0.75" bottom="0.75" header="0.3" footer="0.3"/>
  <pageSetup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1D584-6B3B-444D-B52D-CA56226952C3}">
  <dimension ref="A1"/>
  <sheetViews>
    <sheetView workbookViewId="0"/>
  </sheetViews>
  <sheetFormatPr defaultRowHeight="14.4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15632-4905-47A8-92AE-BAE5EEC666CA}">
  <sheetPr>
    <tabColor rgb="FF00B050"/>
  </sheetPr>
  <dimension ref="A1:O24"/>
  <sheetViews>
    <sheetView tabSelected="1" zoomScaleNormal="100" workbookViewId="0">
      <pane xSplit="2" ySplit="1" topLeftCell="E6" activePane="bottomRight" state="frozen"/>
      <selection pane="bottomRight" activeCell="A31" sqref="A31"/>
      <selection pane="bottomLeft" activeCell="A2" sqref="A2"/>
      <selection pane="topRight" activeCell="B1" sqref="B1"/>
    </sheetView>
  </sheetViews>
  <sheetFormatPr defaultColWidth="8.85546875" defaultRowHeight="14.45"/>
  <cols>
    <col min="1" max="1" width="21.5703125" style="1" customWidth="1"/>
    <col min="2" max="2" width="22.42578125" style="1" customWidth="1"/>
    <col min="3" max="3" width="19" style="1" customWidth="1"/>
    <col min="4" max="4" width="17.85546875" style="216" customWidth="1"/>
    <col min="5" max="5" width="43.140625" style="447" customWidth="1"/>
    <col min="6" max="6" width="20.5703125" style="447" customWidth="1"/>
    <col min="7" max="12" width="20.5703125" style="216" customWidth="1"/>
    <col min="13" max="13" width="20.5703125" style="217" customWidth="1"/>
    <col min="14" max="15" width="20.5703125" style="218" customWidth="1"/>
    <col min="16" max="16384" width="8.85546875" style="1"/>
  </cols>
  <sheetData>
    <row r="1" spans="1:15" s="47" customFormat="1" ht="43.5">
      <c r="A1" s="141" t="s">
        <v>0</v>
      </c>
      <c r="B1" s="141" t="s">
        <v>14</v>
      </c>
      <c r="C1" s="141" t="s">
        <v>242</v>
      </c>
      <c r="D1" s="213" t="s">
        <v>427</v>
      </c>
      <c r="E1" s="213" t="s">
        <v>428</v>
      </c>
      <c r="F1" s="219" t="s">
        <v>429</v>
      </c>
      <c r="G1" s="219" t="s">
        <v>430</v>
      </c>
      <c r="H1" s="213" t="s">
        <v>431</v>
      </c>
      <c r="I1" s="213" t="s">
        <v>432</v>
      </c>
      <c r="J1" s="213" t="s">
        <v>433</v>
      </c>
      <c r="K1" s="213" t="s">
        <v>434</v>
      </c>
      <c r="L1" s="213" t="s">
        <v>435</v>
      </c>
      <c r="M1" s="214" t="s">
        <v>436</v>
      </c>
      <c r="N1" s="215" t="s">
        <v>437</v>
      </c>
      <c r="O1" s="267" t="s">
        <v>438</v>
      </c>
    </row>
    <row r="2" spans="1:15" s="220" customFormat="1" ht="15.95">
      <c r="A2" s="374" t="s">
        <v>439</v>
      </c>
      <c r="B2" s="374"/>
      <c r="C2" s="374"/>
      <c r="D2" s="374" t="s">
        <v>42</v>
      </c>
      <c r="E2" s="448" t="s">
        <v>440</v>
      </c>
      <c r="F2" s="444" t="s">
        <v>441</v>
      </c>
      <c r="G2" s="375" t="s">
        <v>442</v>
      </c>
      <c r="H2" s="376" t="s">
        <v>443</v>
      </c>
      <c r="I2" s="377" t="s">
        <v>444</v>
      </c>
      <c r="J2" s="374" t="s">
        <v>445</v>
      </c>
      <c r="K2" s="374" t="s">
        <v>24</v>
      </c>
      <c r="L2" s="374" t="s">
        <v>24</v>
      </c>
      <c r="M2" s="377" t="s">
        <v>446</v>
      </c>
      <c r="N2" s="378" t="s">
        <v>447</v>
      </c>
      <c r="O2" s="379" t="s">
        <v>448</v>
      </c>
    </row>
    <row r="3" spans="1:15" ht="29.1">
      <c r="A3" s="385" t="s">
        <v>254</v>
      </c>
      <c r="B3" s="140" t="s">
        <v>255</v>
      </c>
      <c r="C3" s="140" t="s">
        <v>256</v>
      </c>
      <c r="D3" s="380" t="s">
        <v>27</v>
      </c>
      <c r="E3" s="445" t="s">
        <v>449</v>
      </c>
      <c r="F3" s="445" t="s">
        <v>450</v>
      </c>
      <c r="G3" s="381" t="s">
        <v>451</v>
      </c>
      <c r="H3" s="380" t="s">
        <v>452</v>
      </c>
      <c r="I3" s="380" t="s">
        <v>453</v>
      </c>
      <c r="J3" s="380" t="s">
        <v>454</v>
      </c>
      <c r="K3" s="380" t="s">
        <v>455</v>
      </c>
      <c r="L3" s="380" t="s">
        <v>24</v>
      </c>
      <c r="M3" s="380" t="s">
        <v>456</v>
      </c>
      <c r="N3" s="380" t="s">
        <v>457</v>
      </c>
      <c r="O3" s="380" t="s">
        <v>457</v>
      </c>
    </row>
    <row r="4" spans="1:15" ht="43.5">
      <c r="A4" s="385" t="s">
        <v>217</v>
      </c>
      <c r="B4" s="140" t="s">
        <v>255</v>
      </c>
      <c r="C4" s="140" t="s">
        <v>265</v>
      </c>
      <c r="D4" s="382" t="s">
        <v>42</v>
      </c>
      <c r="E4" s="446" t="s">
        <v>458</v>
      </c>
      <c r="F4" s="446" t="s">
        <v>450</v>
      </c>
      <c r="G4" s="382" t="s">
        <v>442</v>
      </c>
      <c r="H4" s="380" t="s">
        <v>459</v>
      </c>
      <c r="I4" s="383" t="s">
        <v>460</v>
      </c>
      <c r="J4" s="383" t="s">
        <v>461</v>
      </c>
      <c r="K4" s="383" t="s">
        <v>462</v>
      </c>
      <c r="L4" s="380" t="s">
        <v>24</v>
      </c>
      <c r="M4" s="383" t="s">
        <v>463</v>
      </c>
      <c r="N4" s="383" t="s">
        <v>464</v>
      </c>
      <c r="O4" s="380" t="s">
        <v>24</v>
      </c>
    </row>
    <row r="5" spans="1:15" s="15" customFormat="1" ht="57.95">
      <c r="A5" s="385" t="s">
        <v>271</v>
      </c>
      <c r="B5" s="140" t="s">
        <v>272</v>
      </c>
      <c r="C5" s="140" t="s">
        <v>273</v>
      </c>
      <c r="D5" s="380" t="s">
        <v>42</v>
      </c>
      <c r="E5" s="446" t="s">
        <v>465</v>
      </c>
      <c r="F5" s="445" t="s">
        <v>466</v>
      </c>
      <c r="G5" s="381" t="s">
        <v>467</v>
      </c>
      <c r="H5" s="380" t="s">
        <v>468</v>
      </c>
      <c r="I5" s="380" t="s">
        <v>24</v>
      </c>
      <c r="J5" s="380" t="s">
        <v>469</v>
      </c>
      <c r="K5" s="380" t="s">
        <v>470</v>
      </c>
      <c r="L5" s="380" t="s">
        <v>24</v>
      </c>
      <c r="M5" s="380" t="s">
        <v>471</v>
      </c>
      <c r="N5" s="380" t="s">
        <v>24</v>
      </c>
      <c r="O5" s="380" t="s">
        <v>24</v>
      </c>
    </row>
    <row r="6" spans="1:15">
      <c r="A6" s="385" t="s">
        <v>218</v>
      </c>
      <c r="B6" s="140" t="s">
        <v>280</v>
      </c>
      <c r="C6" s="140" t="s">
        <v>256</v>
      </c>
      <c r="D6" s="382" t="s">
        <v>316</v>
      </c>
      <c r="E6" s="446" t="s">
        <v>472</v>
      </c>
      <c r="F6" s="446" t="s">
        <v>473</v>
      </c>
      <c r="G6" s="382" t="s">
        <v>474</v>
      </c>
      <c r="H6" s="383" t="s">
        <v>475</v>
      </c>
      <c r="I6" s="383" t="s">
        <v>476</v>
      </c>
      <c r="J6" s="383" t="s">
        <v>477</v>
      </c>
      <c r="K6" s="383" t="s">
        <v>478</v>
      </c>
      <c r="L6" s="383" t="s">
        <v>24</v>
      </c>
      <c r="M6" s="383" t="s">
        <v>479</v>
      </c>
      <c r="N6" s="383" t="s">
        <v>24</v>
      </c>
      <c r="O6" s="383" t="s">
        <v>24</v>
      </c>
    </row>
    <row r="7" spans="1:15" ht="29.1">
      <c r="A7" s="385" t="s">
        <v>287</v>
      </c>
      <c r="B7" s="140" t="s">
        <v>280</v>
      </c>
      <c r="C7" s="140" t="s">
        <v>280</v>
      </c>
      <c r="D7" s="380" t="s">
        <v>27</v>
      </c>
      <c r="E7" s="446" t="s">
        <v>480</v>
      </c>
      <c r="F7" s="445" t="s">
        <v>481</v>
      </c>
      <c r="G7" s="381" t="s">
        <v>482</v>
      </c>
      <c r="H7" s="380" t="s">
        <v>483</v>
      </c>
      <c r="I7" s="380" t="s">
        <v>453</v>
      </c>
      <c r="J7" s="380" t="s">
        <v>454</v>
      </c>
      <c r="K7" s="380" t="s">
        <v>455</v>
      </c>
      <c r="L7" s="380" t="s">
        <v>484</v>
      </c>
      <c r="M7" s="380" t="s">
        <v>485</v>
      </c>
      <c r="N7" s="380" t="s">
        <v>486</v>
      </c>
      <c r="O7" s="380" t="s">
        <v>448</v>
      </c>
    </row>
    <row r="8" spans="1:15">
      <c r="A8" s="385" t="s">
        <v>291</v>
      </c>
      <c r="B8" s="140" t="s">
        <v>280</v>
      </c>
      <c r="C8" s="140" t="s">
        <v>256</v>
      </c>
      <c r="D8" s="382" t="s">
        <v>27</v>
      </c>
      <c r="E8" s="446" t="s">
        <v>487</v>
      </c>
      <c r="F8" s="446" t="s">
        <v>450</v>
      </c>
      <c r="G8" s="382" t="s">
        <v>488</v>
      </c>
      <c r="H8" s="383" t="s">
        <v>452</v>
      </c>
      <c r="I8" s="383" t="s">
        <v>453</v>
      </c>
      <c r="J8" s="383" t="s">
        <v>454</v>
      </c>
      <c r="K8" s="383" t="s">
        <v>455</v>
      </c>
      <c r="L8" s="383" t="s">
        <v>24</v>
      </c>
      <c r="M8" s="383" t="s">
        <v>456</v>
      </c>
      <c r="N8" s="383" t="s">
        <v>457</v>
      </c>
      <c r="O8" s="383" t="s">
        <v>457</v>
      </c>
    </row>
    <row r="9" spans="1:15">
      <c r="A9" s="385" t="s">
        <v>227</v>
      </c>
      <c r="B9" s="140" t="s">
        <v>280</v>
      </c>
      <c r="C9" s="140" t="s">
        <v>256</v>
      </c>
      <c r="D9" s="380" t="s">
        <v>27</v>
      </c>
      <c r="E9" s="445" t="s">
        <v>489</v>
      </c>
      <c r="F9" s="445" t="s">
        <v>490</v>
      </c>
      <c r="G9" s="381" t="s">
        <v>451</v>
      </c>
      <c r="H9" s="380" t="s">
        <v>452</v>
      </c>
      <c r="I9" s="380" t="s">
        <v>491</v>
      </c>
      <c r="J9" s="380" t="s">
        <v>492</v>
      </c>
      <c r="K9" s="380" t="s">
        <v>493</v>
      </c>
      <c r="L9" s="380" t="s">
        <v>24</v>
      </c>
      <c r="M9" s="380" t="s">
        <v>494</v>
      </c>
      <c r="N9" s="380" t="s">
        <v>495</v>
      </c>
      <c r="O9" s="380" t="s">
        <v>24</v>
      </c>
    </row>
    <row r="10" spans="1:15" ht="29.1">
      <c r="A10" s="385" t="s">
        <v>302</v>
      </c>
      <c r="B10" s="140" t="s">
        <v>255</v>
      </c>
      <c r="C10" s="140" t="s">
        <v>303</v>
      </c>
      <c r="D10" s="382" t="s">
        <v>496</v>
      </c>
      <c r="E10" s="446" t="s">
        <v>497</v>
      </c>
      <c r="F10" s="446" t="s">
        <v>450</v>
      </c>
      <c r="G10" s="383" t="s">
        <v>451</v>
      </c>
      <c r="H10" s="383" t="s">
        <v>452</v>
      </c>
      <c r="I10" s="383" t="s">
        <v>498</v>
      </c>
      <c r="J10" s="383" t="s">
        <v>499</v>
      </c>
      <c r="K10" s="383"/>
      <c r="L10" s="383"/>
      <c r="M10" s="383"/>
      <c r="N10" s="383"/>
      <c r="O10" s="383"/>
    </row>
    <row r="11" spans="1:15" ht="29.1">
      <c r="A11" s="385" t="s">
        <v>224</v>
      </c>
      <c r="B11" s="140" t="s">
        <v>304</v>
      </c>
      <c r="C11" s="140" t="s">
        <v>280</v>
      </c>
      <c r="D11" s="380" t="s">
        <v>27</v>
      </c>
      <c r="E11" s="446" t="s">
        <v>480</v>
      </c>
      <c r="F11" s="445" t="s">
        <v>481</v>
      </c>
      <c r="G11" s="381" t="s">
        <v>482</v>
      </c>
      <c r="H11" s="380" t="s">
        <v>483</v>
      </c>
      <c r="I11" s="380" t="s">
        <v>453</v>
      </c>
      <c r="J11" s="380" t="s">
        <v>454</v>
      </c>
      <c r="K11" s="380" t="s">
        <v>455</v>
      </c>
      <c r="L11" s="380" t="s">
        <v>484</v>
      </c>
      <c r="M11" s="380" t="s">
        <v>485</v>
      </c>
      <c r="N11" s="380" t="s">
        <v>486</v>
      </c>
      <c r="O11" s="380" t="s">
        <v>448</v>
      </c>
    </row>
    <row r="12" spans="1:15" ht="29.1">
      <c r="A12" s="385" t="s">
        <v>311</v>
      </c>
      <c r="B12" s="140" t="s">
        <v>255</v>
      </c>
      <c r="C12" s="140" t="s">
        <v>312</v>
      </c>
      <c r="D12" s="382" t="s">
        <v>27</v>
      </c>
      <c r="E12" s="445" t="s">
        <v>497</v>
      </c>
      <c r="F12" s="446" t="s">
        <v>500</v>
      </c>
      <c r="G12" s="382" t="s">
        <v>442</v>
      </c>
      <c r="H12" s="383" t="s">
        <v>452</v>
      </c>
      <c r="I12" s="383" t="s">
        <v>453</v>
      </c>
      <c r="J12" s="383" t="s">
        <v>499</v>
      </c>
      <c r="K12" s="383" t="s">
        <v>24</v>
      </c>
      <c r="L12" s="383" t="s">
        <v>24</v>
      </c>
      <c r="M12" s="383" t="s">
        <v>479</v>
      </c>
      <c r="N12" s="383" t="s">
        <v>501</v>
      </c>
      <c r="O12" s="383" t="s">
        <v>448</v>
      </c>
    </row>
    <row r="13" spans="1:15" ht="29.1">
      <c r="A13" s="385" t="s">
        <v>228</v>
      </c>
      <c r="B13" s="140" t="s">
        <v>255</v>
      </c>
      <c r="C13" s="140" t="s">
        <v>280</v>
      </c>
      <c r="D13" s="380" t="s">
        <v>42</v>
      </c>
      <c r="E13" s="446" t="s">
        <v>502</v>
      </c>
      <c r="F13" s="445" t="s">
        <v>503</v>
      </c>
      <c r="G13" s="381" t="s">
        <v>482</v>
      </c>
      <c r="H13" s="380" t="s">
        <v>452</v>
      </c>
      <c r="I13" s="380" t="s">
        <v>504</v>
      </c>
      <c r="J13" s="380" t="s">
        <v>499</v>
      </c>
      <c r="K13" s="380" t="s">
        <v>505</v>
      </c>
      <c r="L13" s="380" t="s">
        <v>506</v>
      </c>
      <c r="M13" s="380" t="s">
        <v>479</v>
      </c>
      <c r="N13" s="380" t="s">
        <v>501</v>
      </c>
      <c r="O13" s="380" t="s">
        <v>448</v>
      </c>
    </row>
    <row r="14" spans="1:15" ht="29.1">
      <c r="A14" s="385" t="s">
        <v>123</v>
      </c>
      <c r="B14" s="140" t="s">
        <v>304</v>
      </c>
      <c r="C14" s="140" t="s">
        <v>319</v>
      </c>
      <c r="D14" s="382" t="s">
        <v>27</v>
      </c>
      <c r="E14" s="446" t="s">
        <v>507</v>
      </c>
      <c r="F14" s="446" t="s">
        <v>508</v>
      </c>
      <c r="G14" s="382" t="s">
        <v>509</v>
      </c>
      <c r="H14" s="383" t="s">
        <v>510</v>
      </c>
      <c r="I14" s="383" t="s">
        <v>511</v>
      </c>
      <c r="J14" s="383" t="s">
        <v>512</v>
      </c>
      <c r="K14" s="383" t="s">
        <v>513</v>
      </c>
      <c r="L14" s="383" t="s">
        <v>514</v>
      </c>
      <c r="M14" s="383" t="s">
        <v>24</v>
      </c>
      <c r="N14" s="383" t="s">
        <v>515</v>
      </c>
      <c r="O14" s="383" t="s">
        <v>24</v>
      </c>
    </row>
    <row r="15" spans="1:15">
      <c r="A15" s="385" t="s">
        <v>223</v>
      </c>
      <c r="B15" s="140" t="s">
        <v>304</v>
      </c>
      <c r="C15" s="140" t="s">
        <v>303</v>
      </c>
      <c r="D15" s="380"/>
      <c r="E15" s="445"/>
      <c r="F15" s="445"/>
      <c r="G15" s="381"/>
      <c r="H15" s="380"/>
      <c r="I15" s="380"/>
      <c r="J15" s="380"/>
      <c r="K15" s="380"/>
      <c r="L15" s="380"/>
      <c r="M15" s="380"/>
      <c r="N15" s="380"/>
      <c r="O15" s="380"/>
    </row>
    <row r="16" spans="1:15" ht="29.1">
      <c r="A16" s="385" t="s">
        <v>326</v>
      </c>
      <c r="B16" s="140" t="s">
        <v>280</v>
      </c>
      <c r="C16" s="140" t="s">
        <v>280</v>
      </c>
      <c r="D16" s="382" t="s">
        <v>42</v>
      </c>
      <c r="E16" s="446" t="s">
        <v>502</v>
      </c>
      <c r="F16" s="446" t="s">
        <v>516</v>
      </c>
      <c r="G16" s="382" t="s">
        <v>482</v>
      </c>
      <c r="H16" s="383" t="s">
        <v>483</v>
      </c>
      <c r="I16" s="383" t="s">
        <v>517</v>
      </c>
      <c r="J16" s="383" t="s">
        <v>454</v>
      </c>
      <c r="K16" s="383" t="s">
        <v>455</v>
      </c>
      <c r="L16" s="383" t="s">
        <v>518</v>
      </c>
      <c r="M16" s="383" t="s">
        <v>519</v>
      </c>
      <c r="N16" s="383" t="s">
        <v>486</v>
      </c>
      <c r="O16" s="383" t="s">
        <v>448</v>
      </c>
    </row>
    <row r="17" spans="1:15">
      <c r="A17" s="385" t="s">
        <v>153</v>
      </c>
      <c r="B17" s="140" t="s">
        <v>255</v>
      </c>
      <c r="C17" s="140" t="s">
        <v>312</v>
      </c>
      <c r="D17" s="380" t="s">
        <v>27</v>
      </c>
      <c r="E17" s="445" t="s">
        <v>520</v>
      </c>
      <c r="F17" s="445" t="s">
        <v>450</v>
      </c>
      <c r="G17" s="381" t="s">
        <v>442</v>
      </c>
      <c r="H17" s="380" t="s">
        <v>452</v>
      </c>
      <c r="I17" s="380" t="s">
        <v>501</v>
      </c>
      <c r="J17" s="380" t="s">
        <v>499</v>
      </c>
      <c r="K17" s="380" t="s">
        <v>24</v>
      </c>
      <c r="L17" s="380" t="s">
        <v>24</v>
      </c>
      <c r="M17" s="380" t="s">
        <v>479</v>
      </c>
      <c r="N17" s="380" t="s">
        <v>501</v>
      </c>
      <c r="O17" s="380" t="s">
        <v>448</v>
      </c>
    </row>
    <row r="18" spans="1:15" ht="48" customHeight="1">
      <c r="A18" s="385" t="s">
        <v>330</v>
      </c>
      <c r="B18" s="140" t="s">
        <v>304</v>
      </c>
      <c r="C18" s="140" t="s">
        <v>303</v>
      </c>
      <c r="D18" s="382" t="s">
        <v>27</v>
      </c>
      <c r="E18" s="446" t="s">
        <v>497</v>
      </c>
      <c r="F18" s="446" t="s">
        <v>450</v>
      </c>
      <c r="G18" s="383" t="s">
        <v>451</v>
      </c>
      <c r="H18" s="383" t="s">
        <v>452</v>
      </c>
      <c r="I18" s="383" t="s">
        <v>498</v>
      </c>
      <c r="J18" s="383" t="s">
        <v>499</v>
      </c>
      <c r="K18" s="383"/>
      <c r="L18" s="383"/>
      <c r="M18" s="383" t="s">
        <v>479</v>
      </c>
      <c r="N18" s="383"/>
      <c r="O18" s="383"/>
    </row>
    <row r="19" spans="1:15" s="12" customFormat="1" ht="43.5">
      <c r="A19" s="385" t="s">
        <v>331</v>
      </c>
      <c r="B19" s="411" t="s">
        <v>332</v>
      </c>
      <c r="C19" s="410" t="s">
        <v>521</v>
      </c>
      <c r="D19" s="380"/>
      <c r="E19" s="445"/>
      <c r="F19" s="445" t="s">
        <v>508</v>
      </c>
      <c r="G19" s="381" t="s">
        <v>522</v>
      </c>
      <c r="H19" s="380" t="s">
        <v>452</v>
      </c>
      <c r="I19" s="380" t="s">
        <v>491</v>
      </c>
      <c r="J19" s="380" t="s">
        <v>492</v>
      </c>
      <c r="K19" s="380" t="s">
        <v>493</v>
      </c>
      <c r="L19" s="380" t="s">
        <v>478</v>
      </c>
      <c r="M19" s="380" t="s">
        <v>479</v>
      </c>
      <c r="N19" s="380" t="s">
        <v>523</v>
      </c>
      <c r="O19" s="380" t="s">
        <v>448</v>
      </c>
    </row>
    <row r="20" spans="1:15" s="12" customFormat="1" ht="29.1">
      <c r="A20" s="385" t="s">
        <v>337</v>
      </c>
      <c r="B20" s="140" t="s">
        <v>304</v>
      </c>
      <c r="C20" s="410" t="s">
        <v>338</v>
      </c>
      <c r="D20" s="382" t="s">
        <v>524</v>
      </c>
      <c r="E20" s="446" t="s">
        <v>525</v>
      </c>
      <c r="F20" s="445" t="s">
        <v>508</v>
      </c>
      <c r="G20" s="382" t="s">
        <v>442</v>
      </c>
      <c r="H20" s="383" t="s">
        <v>452</v>
      </c>
      <c r="I20" s="383" t="s">
        <v>511</v>
      </c>
      <c r="J20" s="383" t="s">
        <v>512</v>
      </c>
      <c r="K20" s="383" t="s">
        <v>513</v>
      </c>
      <c r="L20" s="383" t="s">
        <v>526</v>
      </c>
      <c r="M20" s="383" t="s">
        <v>479</v>
      </c>
      <c r="N20" s="383" t="s">
        <v>527</v>
      </c>
      <c r="O20" s="383" t="s">
        <v>448</v>
      </c>
    </row>
    <row r="21" spans="1:15" s="12" customFormat="1" ht="29.1">
      <c r="A21" s="385" t="s">
        <v>220</v>
      </c>
      <c r="B21" s="140" t="s">
        <v>304</v>
      </c>
      <c r="C21" s="140" t="s">
        <v>319</v>
      </c>
      <c r="D21" s="380" t="s">
        <v>27</v>
      </c>
      <c r="E21" s="445" t="s">
        <v>528</v>
      </c>
      <c r="F21" s="445" t="s">
        <v>508</v>
      </c>
      <c r="G21" s="381" t="s">
        <v>529</v>
      </c>
      <c r="H21" s="380" t="s">
        <v>530</v>
      </c>
      <c r="I21" s="380" t="s">
        <v>453</v>
      </c>
      <c r="J21" s="380" t="s">
        <v>454</v>
      </c>
      <c r="K21" s="380" t="s">
        <v>455</v>
      </c>
      <c r="L21" s="383" t="s">
        <v>24</v>
      </c>
      <c r="M21" s="380" t="s">
        <v>456</v>
      </c>
      <c r="N21" s="380" t="s">
        <v>486</v>
      </c>
      <c r="O21" s="383" t="s">
        <v>24</v>
      </c>
    </row>
    <row r="22" spans="1:15" s="12" customFormat="1" ht="29.1">
      <c r="A22" s="385" t="s">
        <v>225</v>
      </c>
      <c r="B22" s="140" t="s">
        <v>304</v>
      </c>
      <c r="C22" s="140" t="s">
        <v>303</v>
      </c>
      <c r="D22" s="382" t="s">
        <v>27</v>
      </c>
      <c r="E22" s="446" t="s">
        <v>497</v>
      </c>
      <c r="F22" s="446" t="s">
        <v>450</v>
      </c>
      <c r="G22" s="383" t="s">
        <v>451</v>
      </c>
      <c r="H22" s="383" t="s">
        <v>452</v>
      </c>
      <c r="I22" s="383" t="s">
        <v>498</v>
      </c>
      <c r="J22" s="383" t="s">
        <v>499</v>
      </c>
      <c r="K22" s="383"/>
      <c r="L22" s="383" t="s">
        <v>531</v>
      </c>
      <c r="M22" s="383"/>
      <c r="N22" s="383" t="s">
        <v>527</v>
      </c>
      <c r="O22" s="383"/>
    </row>
    <row r="23" spans="1:15" s="12" customFormat="1" ht="44.1" thickBot="1">
      <c r="A23" s="385" t="s">
        <v>347</v>
      </c>
      <c r="B23" s="140" t="s">
        <v>280</v>
      </c>
      <c r="C23" s="140" t="s">
        <v>348</v>
      </c>
      <c r="D23" s="380" t="s">
        <v>42</v>
      </c>
      <c r="E23" s="400" t="s">
        <v>532</v>
      </c>
      <c r="F23" s="461" t="s">
        <v>533</v>
      </c>
      <c r="G23" s="461" t="s">
        <v>534</v>
      </c>
      <c r="H23" s="461" t="s">
        <v>509</v>
      </c>
      <c r="I23" s="462" t="s">
        <v>535</v>
      </c>
      <c r="J23" s="462" t="s">
        <v>536</v>
      </c>
      <c r="K23" s="462" t="s">
        <v>537</v>
      </c>
      <c r="L23" s="380" t="s">
        <v>457</v>
      </c>
      <c r="M23" s="463" t="s">
        <v>538</v>
      </c>
      <c r="N23" s="462" t="s">
        <v>539</v>
      </c>
      <c r="O23" s="380" t="s">
        <v>457</v>
      </c>
    </row>
    <row r="24" spans="1:15" s="12" customFormat="1" ht="29.1">
      <c r="A24" s="385" t="s">
        <v>230</v>
      </c>
      <c r="B24" s="140" t="s">
        <v>280</v>
      </c>
      <c r="C24" s="140" t="s">
        <v>280</v>
      </c>
      <c r="D24" s="382" t="s">
        <v>27</v>
      </c>
      <c r="E24" s="446" t="s">
        <v>480</v>
      </c>
      <c r="F24" s="446" t="s">
        <v>481</v>
      </c>
      <c r="G24" s="382" t="s">
        <v>482</v>
      </c>
      <c r="H24" s="383" t="s">
        <v>483</v>
      </c>
      <c r="I24" s="383" t="s">
        <v>453</v>
      </c>
      <c r="J24" s="383" t="s">
        <v>454</v>
      </c>
      <c r="K24" s="383" t="s">
        <v>455</v>
      </c>
      <c r="L24" s="383" t="s">
        <v>484</v>
      </c>
      <c r="M24" s="383" t="s">
        <v>485</v>
      </c>
      <c r="N24" s="383" t="s">
        <v>486</v>
      </c>
      <c r="O24" s="383" t="s">
        <v>448</v>
      </c>
    </row>
  </sheetData>
  <autoFilter ref="A1:O24" xr:uid="{ADFC4478-26C0-4AAA-86EE-2559C4E649E6}"/>
  <conditionalFormatting sqref="A3:A24">
    <cfRule type="cellIs" dxfId="133" priority="13" operator="equal">
      <formula>"Issue Reported"</formula>
    </cfRule>
  </conditionalFormatting>
  <conditionalFormatting sqref="B3:C24">
    <cfRule type="cellIs" dxfId="132" priority="1" operator="equal">
      <formula>"TBD"</formula>
    </cfRule>
    <cfRule type="cellIs" dxfId="131" priority="2" operator="equal">
      <formula>"N/A"</formula>
    </cfRule>
    <cfRule type="cellIs" dxfId="130" priority="3" operator="equal">
      <formula>"Complete"</formula>
    </cfRule>
    <cfRule type="cellIs" dxfId="129" priority="4" operator="equal">
      <formula>"Green"</formula>
    </cfRule>
    <cfRule type="cellIs" dxfId="128" priority="5" operator="equal">
      <formula>"Amber"</formula>
    </cfRule>
    <cfRule type="cellIs" dxfId="127" priority="6" operator="equal">
      <formula>"RED"</formula>
    </cfRule>
  </conditionalFormatting>
  <conditionalFormatting sqref="D23 L23 O23 D24:O24 D3:O22">
    <cfRule type="cellIs" dxfId="126" priority="14" operator="equal">
      <formula>"N/A"</formula>
    </cfRule>
    <cfRule type="expression" dxfId="125" priority="15">
      <formula>$E3="Patch 11"</formula>
    </cfRule>
    <cfRule type="expression" dxfId="124" priority="16">
      <formula>$E3="Patch 10"</formula>
    </cfRule>
    <cfRule type="expression" dxfId="123" priority="17">
      <formula>$E3="Patch 9"</formula>
    </cfRule>
    <cfRule type="expression" dxfId="122" priority="18">
      <formula>$E3="Patch 8"</formula>
    </cfRule>
    <cfRule type="expression" dxfId="121" priority="19">
      <formula>$E3="Patch 7"</formula>
    </cfRule>
  </conditionalFormatting>
  <dataValidations count="1">
    <dataValidation type="list" showDropDown="1" showInputMessage="1" showErrorMessage="1" sqref="E265:F1048576" xr:uid="{E443D887-D683-42B2-92F5-4BD22566DBAE}">
      <formula1>#REF!</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217DC-38BC-478A-8497-B9095653FC35}">
  <sheetPr>
    <tabColor theme="5"/>
  </sheetPr>
  <dimension ref="B1:D76"/>
  <sheetViews>
    <sheetView topLeftCell="B1" zoomScale="124" zoomScaleNormal="124" workbookViewId="0">
      <selection activeCell="H25" sqref="H25"/>
    </sheetView>
  </sheetViews>
  <sheetFormatPr defaultRowHeight="14.45"/>
  <cols>
    <col min="2" max="2" width="156" bestFit="1" customWidth="1"/>
  </cols>
  <sheetData>
    <row r="1" spans="2:2" ht="21">
      <c r="B1" s="36" t="s">
        <v>540</v>
      </c>
    </row>
    <row r="2" spans="2:2" ht="41.25" customHeight="1">
      <c r="B2" s="279" t="s">
        <v>541</v>
      </c>
    </row>
    <row r="3" spans="2:2" ht="17.100000000000001">
      <c r="B3" s="37" t="s">
        <v>542</v>
      </c>
    </row>
    <row r="4" spans="2:2">
      <c r="B4" s="5"/>
    </row>
    <row r="5" spans="2:2" ht="21">
      <c r="B5" s="36" t="s">
        <v>543</v>
      </c>
    </row>
    <row r="6" spans="2:2">
      <c r="B6" s="176" t="s">
        <v>544</v>
      </c>
    </row>
    <row r="7" spans="2:2">
      <c r="B7" s="39" t="s">
        <v>545</v>
      </c>
    </row>
    <row r="8" spans="2:2">
      <c r="B8" s="211" t="s">
        <v>546</v>
      </c>
    </row>
    <row r="9" spans="2:2">
      <c r="B9" s="39" t="s">
        <v>547</v>
      </c>
    </row>
    <row r="10" spans="2:2">
      <c r="B10" s="39" t="s">
        <v>548</v>
      </c>
    </row>
    <row r="11" spans="2:2">
      <c r="B11" s="39" t="s">
        <v>549</v>
      </c>
    </row>
    <row r="12" spans="2:2">
      <c r="B12" s="39" t="s">
        <v>550</v>
      </c>
    </row>
    <row r="13" spans="2:2">
      <c r="B13" s="39" t="s">
        <v>551</v>
      </c>
    </row>
    <row r="14" spans="2:2">
      <c r="B14" s="39" t="s">
        <v>552</v>
      </c>
    </row>
    <row r="15" spans="2:2">
      <c r="B15" s="39" t="s">
        <v>553</v>
      </c>
    </row>
    <row r="16" spans="2:2">
      <c r="B16" s="39" t="s">
        <v>554</v>
      </c>
    </row>
    <row r="17" spans="2:4">
      <c r="B17" s="39" t="s">
        <v>555</v>
      </c>
    </row>
    <row r="18" spans="2:4">
      <c r="B18" s="38" t="s">
        <v>556</v>
      </c>
    </row>
    <row r="19" spans="2:4">
      <c r="B19" s="280" t="s">
        <v>557</v>
      </c>
    </row>
    <row r="20" spans="2:4">
      <c r="B20" s="280" t="s">
        <v>558</v>
      </c>
    </row>
    <row r="21" spans="2:4">
      <c r="B21" s="38" t="s">
        <v>559</v>
      </c>
    </row>
    <row r="22" spans="2:4">
      <c r="B22" s="39" t="s">
        <v>560</v>
      </c>
    </row>
    <row r="23" spans="2:4">
      <c r="B23" s="39" t="s">
        <v>561</v>
      </c>
    </row>
    <row r="24" spans="2:4">
      <c r="B24" s="39" t="s">
        <v>562</v>
      </c>
    </row>
    <row r="25" spans="2:4">
      <c r="B25" s="39" t="s">
        <v>563</v>
      </c>
    </row>
    <row r="26" spans="2:4">
      <c r="B26" s="38" t="s">
        <v>564</v>
      </c>
    </row>
    <row r="27" spans="2:4">
      <c r="B27" s="39" t="s">
        <v>565</v>
      </c>
    </row>
    <row r="28" spans="2:4">
      <c r="B28" s="39"/>
    </row>
    <row r="29" spans="2:4" ht="17.100000000000001">
      <c r="B29" s="40" t="s">
        <v>566</v>
      </c>
      <c r="C29" s="41"/>
      <c r="D29" s="41"/>
    </row>
    <row r="30" spans="2:4">
      <c r="B30" s="38" t="s">
        <v>567</v>
      </c>
    </row>
    <row r="31" spans="2:4">
      <c r="B31" s="176" t="s">
        <v>568</v>
      </c>
    </row>
    <row r="32" spans="2:4">
      <c r="B32" s="39" t="s">
        <v>569</v>
      </c>
    </row>
    <row r="33" spans="2:2">
      <c r="B33" s="39" t="s">
        <v>570</v>
      </c>
    </row>
    <row r="36" spans="2:2">
      <c r="B36" s="212" t="s">
        <v>571</v>
      </c>
    </row>
    <row r="37" spans="2:2">
      <c r="B37" t="s">
        <v>572</v>
      </c>
    </row>
    <row r="38" spans="2:2">
      <c r="B38" t="s">
        <v>573</v>
      </c>
    </row>
    <row r="39" spans="2:2">
      <c r="B39" t="s">
        <v>574</v>
      </c>
    </row>
    <row r="40" spans="2:2">
      <c r="B40" t="s">
        <v>575</v>
      </c>
    </row>
    <row r="41" spans="2:2">
      <c r="B41" t="s">
        <v>576</v>
      </c>
    </row>
    <row r="42" spans="2:2">
      <c r="B42" t="s">
        <v>577</v>
      </c>
    </row>
    <row r="43" spans="2:2" ht="29.1">
      <c r="B43" s="281" t="s">
        <v>578</v>
      </c>
    </row>
    <row r="56" spans="2:2" ht="29.1">
      <c r="B56" s="282" t="s">
        <v>579</v>
      </c>
    </row>
    <row r="76" spans="2:2">
      <c r="B76" s="212"/>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E7000-4F54-4CD6-B2C8-6A2D011A721C}">
  <sheetPr>
    <tabColor rgb="FF00B050"/>
    <pageSetUpPr fitToPage="1"/>
  </sheetPr>
  <dimension ref="A1:L141"/>
  <sheetViews>
    <sheetView workbookViewId="0">
      <pane xSplit="1" ySplit="3" topLeftCell="D6" activePane="bottomRight" state="frozen"/>
      <selection pane="bottomRight" activeCell="D6" sqref="D6"/>
      <selection pane="bottomLeft" activeCell="A4" sqref="A4"/>
      <selection pane="topRight" activeCell="B1" sqref="B1"/>
    </sheetView>
  </sheetViews>
  <sheetFormatPr defaultColWidth="20.85546875" defaultRowHeight="15" customHeight="1"/>
  <cols>
    <col min="1" max="1" width="55.28515625" style="1" bestFit="1" customWidth="1"/>
    <col min="2" max="2" width="21.5703125" bestFit="1" customWidth="1"/>
    <col min="3" max="3" width="24.28515625" customWidth="1"/>
    <col min="4" max="4" width="22.5703125" bestFit="1" customWidth="1"/>
    <col min="5" max="5" width="33.5703125" customWidth="1"/>
    <col min="6" max="6" width="30.140625" customWidth="1"/>
    <col min="7" max="7" width="23.42578125" bestFit="1" customWidth="1"/>
    <col min="8" max="8" width="22.5703125" bestFit="1" customWidth="1"/>
    <col min="9" max="9" width="21.5703125" bestFit="1" customWidth="1"/>
    <col min="10" max="10" width="9.140625" bestFit="1" customWidth="1"/>
    <col min="11" max="11" width="9.140625" customWidth="1"/>
    <col min="12" max="12" width="68" bestFit="1" customWidth="1"/>
  </cols>
  <sheetData>
    <row r="1" spans="1:12" ht="15.95" customHeight="1">
      <c r="A1" s="481" t="s">
        <v>580</v>
      </c>
      <c r="B1" s="481"/>
      <c r="C1" s="481"/>
      <c r="D1" s="481"/>
      <c r="E1" s="481"/>
      <c r="F1" s="481"/>
      <c r="G1" s="481"/>
      <c r="H1" s="481"/>
      <c r="I1" s="481"/>
    </row>
    <row r="2" spans="1:12" thickBot="1">
      <c r="A2" s="479" t="s">
        <v>581</v>
      </c>
      <c r="B2" s="480"/>
      <c r="C2" s="480"/>
      <c r="D2" s="480"/>
      <c r="E2" s="480"/>
      <c r="F2" s="480"/>
      <c r="G2" s="480"/>
      <c r="H2" s="480"/>
      <c r="I2" s="480"/>
    </row>
    <row r="3" spans="1:12" ht="14.45">
      <c r="A3" s="49"/>
      <c r="B3" s="276">
        <v>45982</v>
      </c>
      <c r="C3" s="276">
        <v>45983</v>
      </c>
      <c r="D3" s="276">
        <v>45984</v>
      </c>
      <c r="E3" s="276">
        <v>45985</v>
      </c>
      <c r="F3" s="276">
        <v>45986</v>
      </c>
      <c r="G3" s="276">
        <v>45987</v>
      </c>
      <c r="H3" s="276">
        <v>45988</v>
      </c>
      <c r="I3" s="276">
        <v>45989</v>
      </c>
    </row>
    <row r="4" spans="1:12" ht="14.45">
      <c r="A4" s="50" t="s">
        <v>54</v>
      </c>
      <c r="B4" s="74" t="s">
        <v>582</v>
      </c>
      <c r="C4" s="74" t="s">
        <v>582</v>
      </c>
      <c r="D4" s="102"/>
      <c r="E4" s="35" t="s">
        <v>582</v>
      </c>
      <c r="F4" s="35" t="s">
        <v>582</v>
      </c>
      <c r="G4" s="35" t="s">
        <v>582</v>
      </c>
      <c r="H4" s="102" t="s">
        <v>583</v>
      </c>
      <c r="I4" s="102" t="s">
        <v>583</v>
      </c>
    </row>
    <row r="5" spans="1:12" ht="29.1">
      <c r="A5" s="50" t="s">
        <v>584</v>
      </c>
      <c r="B5" s="102"/>
      <c r="C5" s="102"/>
      <c r="D5" s="102"/>
      <c r="E5" s="35" t="s">
        <v>585</v>
      </c>
      <c r="F5" s="42" t="s">
        <v>586</v>
      </c>
      <c r="G5" s="42" t="s">
        <v>582</v>
      </c>
      <c r="H5" s="102" t="s">
        <v>583</v>
      </c>
      <c r="I5" s="102" t="s">
        <v>583</v>
      </c>
    </row>
    <row r="6" spans="1:12" ht="14.45">
      <c r="A6" s="50" t="s">
        <v>587</v>
      </c>
      <c r="B6" s="35" t="s">
        <v>588</v>
      </c>
      <c r="C6" s="35" t="s">
        <v>582</v>
      </c>
      <c r="D6" s="35" t="s">
        <v>589</v>
      </c>
      <c r="E6" s="35" t="s">
        <v>582</v>
      </c>
      <c r="F6" s="35" t="s">
        <v>582</v>
      </c>
      <c r="G6" s="35" t="s">
        <v>590</v>
      </c>
      <c r="H6" s="102" t="s">
        <v>583</v>
      </c>
      <c r="I6" s="102" t="s">
        <v>583</v>
      </c>
    </row>
    <row r="7" spans="1:12" ht="14.45">
      <c r="A7" s="50" t="s">
        <v>591</v>
      </c>
      <c r="B7" s="35" t="s">
        <v>582</v>
      </c>
      <c r="C7" s="35" t="s">
        <v>582</v>
      </c>
      <c r="D7" s="35" t="s">
        <v>582</v>
      </c>
      <c r="E7" s="35" t="s">
        <v>582</v>
      </c>
      <c r="F7" s="35" t="s">
        <v>582</v>
      </c>
      <c r="G7" s="102" t="s">
        <v>592</v>
      </c>
      <c r="H7" s="102" t="s">
        <v>583</v>
      </c>
      <c r="I7" s="102" t="s">
        <v>583</v>
      </c>
    </row>
    <row r="8" spans="1:12" ht="14.45">
      <c r="A8" s="50" t="s">
        <v>593</v>
      </c>
      <c r="B8" s="35" t="s">
        <v>582</v>
      </c>
      <c r="C8" s="35" t="s">
        <v>594</v>
      </c>
      <c r="D8" s="35" t="s">
        <v>582</v>
      </c>
      <c r="E8" s="35" t="s">
        <v>582</v>
      </c>
      <c r="F8" s="35" t="s">
        <v>582</v>
      </c>
      <c r="G8" s="42" t="s">
        <v>582</v>
      </c>
      <c r="H8" s="102" t="s">
        <v>583</v>
      </c>
      <c r="I8" s="102" t="s">
        <v>583</v>
      </c>
    </row>
    <row r="9" spans="1:12" ht="14.45">
      <c r="A9" s="50" t="s">
        <v>595</v>
      </c>
      <c r="B9" s="102" t="s">
        <v>592</v>
      </c>
      <c r="C9" s="102" t="s">
        <v>592</v>
      </c>
      <c r="D9" s="102" t="s">
        <v>592</v>
      </c>
      <c r="E9" s="102" t="s">
        <v>592</v>
      </c>
      <c r="F9" s="102" t="s">
        <v>592</v>
      </c>
      <c r="G9" s="102" t="s">
        <v>592</v>
      </c>
      <c r="H9" s="102" t="s">
        <v>583</v>
      </c>
      <c r="I9" s="102" t="s">
        <v>583</v>
      </c>
    </row>
    <row r="10" spans="1:12" ht="14.45">
      <c r="A10" s="61" t="s">
        <v>596</v>
      </c>
      <c r="B10" s="32"/>
      <c r="C10" s="32"/>
      <c r="D10" s="73"/>
      <c r="E10" s="73"/>
      <c r="F10" s="73"/>
      <c r="G10" s="73"/>
      <c r="H10" s="73"/>
      <c r="I10" s="73"/>
      <c r="J10" s="62"/>
      <c r="K10" s="62"/>
      <c r="L10" s="62"/>
    </row>
    <row r="11" spans="1:12" thickBot="1"/>
    <row r="12" spans="1:12" thickBot="1">
      <c r="A12" s="479" t="s">
        <v>597</v>
      </c>
      <c r="B12" s="480"/>
      <c r="C12" s="480"/>
      <c r="D12" s="480"/>
      <c r="E12" s="480"/>
      <c r="F12" s="480"/>
      <c r="G12" s="480"/>
      <c r="H12" s="480"/>
      <c r="I12" s="480"/>
    </row>
    <row r="13" spans="1:12" thickBot="1">
      <c r="A13" s="52"/>
      <c r="B13" s="276">
        <v>45982</v>
      </c>
      <c r="C13" s="276">
        <v>45983</v>
      </c>
      <c r="D13" s="276">
        <v>45984</v>
      </c>
      <c r="E13" s="276">
        <v>45985</v>
      </c>
      <c r="F13" s="276">
        <v>45986</v>
      </c>
      <c r="G13" s="276">
        <v>45987</v>
      </c>
      <c r="H13" s="276">
        <v>45988</v>
      </c>
      <c r="I13" s="276">
        <v>45989</v>
      </c>
      <c r="J13" s="34"/>
      <c r="K13" s="34"/>
    </row>
    <row r="14" spans="1:12" ht="14.45">
      <c r="A14" s="53" t="s">
        <v>598</v>
      </c>
      <c r="B14" s="102" t="s">
        <v>599</v>
      </c>
      <c r="C14" s="35" t="s">
        <v>600</v>
      </c>
      <c r="D14" s="35" t="s">
        <v>600</v>
      </c>
      <c r="E14" s="35" t="s">
        <v>601</v>
      </c>
      <c r="F14" s="35" t="s">
        <v>601</v>
      </c>
      <c r="G14" s="35" t="s">
        <v>601</v>
      </c>
      <c r="H14" s="102" t="s">
        <v>583</v>
      </c>
      <c r="I14" s="102" t="s">
        <v>583</v>
      </c>
    </row>
    <row r="15" spans="1:12" ht="14.45">
      <c r="A15" s="50" t="s">
        <v>602</v>
      </c>
      <c r="B15" s="102" t="s">
        <v>599</v>
      </c>
      <c r="C15" s="35" t="s">
        <v>600</v>
      </c>
      <c r="D15" s="35" t="s">
        <v>600</v>
      </c>
      <c r="E15" s="35" t="s">
        <v>601</v>
      </c>
      <c r="F15" s="35" t="s">
        <v>601</v>
      </c>
      <c r="G15" s="35" t="s">
        <v>601</v>
      </c>
      <c r="H15" s="102" t="s">
        <v>583</v>
      </c>
      <c r="I15" s="102" t="s">
        <v>583</v>
      </c>
    </row>
    <row r="16" spans="1:12" ht="14.45">
      <c r="A16" s="50" t="s">
        <v>603</v>
      </c>
      <c r="B16" s="102" t="s">
        <v>599</v>
      </c>
      <c r="C16" s="35" t="s">
        <v>600</v>
      </c>
      <c r="D16" s="35" t="s">
        <v>600</v>
      </c>
      <c r="E16" s="35" t="s">
        <v>601</v>
      </c>
      <c r="F16" s="35" t="s">
        <v>601</v>
      </c>
      <c r="G16" s="35" t="s">
        <v>601</v>
      </c>
      <c r="H16" s="102" t="s">
        <v>583</v>
      </c>
      <c r="I16" s="102" t="s">
        <v>583</v>
      </c>
    </row>
    <row r="17" spans="1:9" ht="14.45">
      <c r="A17" s="50" t="s">
        <v>604</v>
      </c>
      <c r="B17" s="102" t="s">
        <v>599</v>
      </c>
      <c r="C17" s="35" t="s">
        <v>600</v>
      </c>
      <c r="D17" s="35" t="s">
        <v>600</v>
      </c>
      <c r="E17" s="35" t="s">
        <v>601</v>
      </c>
      <c r="F17" s="35" t="s">
        <v>601</v>
      </c>
      <c r="G17" s="35" t="s">
        <v>601</v>
      </c>
      <c r="H17" s="102" t="s">
        <v>583</v>
      </c>
      <c r="I17" s="102" t="s">
        <v>583</v>
      </c>
    </row>
    <row r="18" spans="1:9" ht="14.45">
      <c r="A18" s="50" t="s">
        <v>605</v>
      </c>
      <c r="B18" s="101" t="s">
        <v>606</v>
      </c>
      <c r="C18" s="354" t="s">
        <v>600</v>
      </c>
      <c r="D18" s="354" t="s">
        <v>600</v>
      </c>
      <c r="E18" s="354" t="s">
        <v>601</v>
      </c>
      <c r="F18" s="354" t="s">
        <v>601</v>
      </c>
      <c r="G18" s="354" t="s">
        <v>601</v>
      </c>
      <c r="H18" s="102" t="s">
        <v>583</v>
      </c>
      <c r="I18" s="102" t="s">
        <v>583</v>
      </c>
    </row>
    <row r="19" spans="1:9" ht="14.45">
      <c r="A19" s="50" t="s">
        <v>607</v>
      </c>
      <c r="B19" s="35" t="s">
        <v>600</v>
      </c>
      <c r="C19" s="35" t="s">
        <v>600</v>
      </c>
      <c r="D19" s="35" t="s">
        <v>600</v>
      </c>
      <c r="E19" s="35" t="s">
        <v>601</v>
      </c>
      <c r="F19" s="35" t="s">
        <v>601</v>
      </c>
      <c r="G19" s="35" t="s">
        <v>601</v>
      </c>
      <c r="H19" s="102" t="s">
        <v>583</v>
      </c>
      <c r="I19" s="102" t="s">
        <v>583</v>
      </c>
    </row>
    <row r="20" spans="1:9" ht="14.45">
      <c r="A20" s="266" t="s">
        <v>608</v>
      </c>
      <c r="B20" s="102" t="s">
        <v>599</v>
      </c>
      <c r="C20" s="35" t="s">
        <v>600</v>
      </c>
      <c r="D20" s="35" t="s">
        <v>600</v>
      </c>
      <c r="E20" s="35" t="s">
        <v>601</v>
      </c>
      <c r="F20" s="35" t="s">
        <v>601</v>
      </c>
      <c r="G20" s="35" t="s">
        <v>601</v>
      </c>
      <c r="H20" s="102" t="s">
        <v>583</v>
      </c>
      <c r="I20" s="102" t="s">
        <v>583</v>
      </c>
    </row>
    <row r="21" spans="1:9" ht="14.45">
      <c r="A21" s="266" t="s">
        <v>609</v>
      </c>
      <c r="B21" s="35" t="s">
        <v>600</v>
      </c>
      <c r="C21" s="35" t="s">
        <v>600</v>
      </c>
      <c r="D21" s="35" t="s">
        <v>600</v>
      </c>
      <c r="E21" s="35" t="s">
        <v>601</v>
      </c>
      <c r="F21" s="35" t="s">
        <v>601</v>
      </c>
      <c r="G21" s="35" t="s">
        <v>601</v>
      </c>
      <c r="H21" s="102" t="s">
        <v>583</v>
      </c>
      <c r="I21" s="102" t="s">
        <v>583</v>
      </c>
    </row>
    <row r="22" spans="1:9" ht="14.45">
      <c r="A22" s="266" t="s">
        <v>610</v>
      </c>
      <c r="B22" s="102" t="s">
        <v>599</v>
      </c>
      <c r="C22" s="35" t="s">
        <v>600</v>
      </c>
      <c r="D22" s="35" t="s">
        <v>600</v>
      </c>
      <c r="E22" s="35" t="s">
        <v>601</v>
      </c>
      <c r="F22" s="35" t="s">
        <v>601</v>
      </c>
      <c r="G22" s="35" t="s">
        <v>601</v>
      </c>
      <c r="H22" s="102" t="s">
        <v>583</v>
      </c>
      <c r="I22" s="102" t="s">
        <v>583</v>
      </c>
    </row>
    <row r="23" spans="1:9" ht="14.45">
      <c r="A23" s="266" t="s">
        <v>611</v>
      </c>
      <c r="B23" s="35" t="s">
        <v>600</v>
      </c>
      <c r="C23" s="35" t="s">
        <v>600</v>
      </c>
      <c r="D23" s="35" t="s">
        <v>600</v>
      </c>
      <c r="E23" s="35" t="s">
        <v>601</v>
      </c>
      <c r="F23" s="35" t="s">
        <v>601</v>
      </c>
      <c r="G23" s="35" t="s">
        <v>601</v>
      </c>
      <c r="H23" s="102" t="s">
        <v>583</v>
      </c>
      <c r="I23" s="102" t="s">
        <v>583</v>
      </c>
    </row>
    <row r="24" spans="1:9" ht="14.45">
      <c r="A24" s="265" t="s">
        <v>612</v>
      </c>
      <c r="B24" s="32" t="s">
        <v>613</v>
      </c>
      <c r="C24" s="32" t="s">
        <v>613</v>
      </c>
      <c r="D24" s="32" t="s">
        <v>614</v>
      </c>
      <c r="E24" s="32" t="s">
        <v>614</v>
      </c>
      <c r="F24" s="32" t="s">
        <v>613</v>
      </c>
      <c r="G24" s="32" t="s">
        <v>613</v>
      </c>
      <c r="H24" s="102" t="s">
        <v>583</v>
      </c>
      <c r="I24" s="102" t="s">
        <v>583</v>
      </c>
    </row>
    <row r="25" spans="1:9" ht="14.45">
      <c r="A25" s="54" t="s">
        <v>615</v>
      </c>
      <c r="B25" s="73" t="s">
        <v>616</v>
      </c>
      <c r="C25" s="73" t="s">
        <v>617</v>
      </c>
      <c r="D25" s="73" t="s">
        <v>618</v>
      </c>
      <c r="E25" s="73" t="s">
        <v>382</v>
      </c>
      <c r="F25" s="73" t="s">
        <v>619</v>
      </c>
      <c r="G25" s="73" t="s">
        <v>620</v>
      </c>
      <c r="H25" s="102" t="s">
        <v>583</v>
      </c>
      <c r="I25" s="102" t="s">
        <v>583</v>
      </c>
    </row>
    <row r="26" spans="1:9" thickBot="1"/>
    <row r="27" spans="1:9" thickBot="1">
      <c r="A27" s="479" t="s">
        <v>621</v>
      </c>
      <c r="B27" s="480"/>
      <c r="C27" s="480"/>
      <c r="D27" s="480"/>
      <c r="E27" s="480"/>
      <c r="F27" s="480"/>
      <c r="G27" s="480"/>
      <c r="H27" s="480"/>
      <c r="I27" s="480"/>
    </row>
    <row r="28" spans="1:9" ht="14.45">
      <c r="A28" s="49"/>
      <c r="B28" s="276">
        <v>45982</v>
      </c>
      <c r="C28" s="276">
        <v>45983</v>
      </c>
      <c r="D28" s="276">
        <v>45984</v>
      </c>
      <c r="E28" s="276">
        <v>45985</v>
      </c>
      <c r="F28" s="276">
        <v>45986</v>
      </c>
      <c r="G28" s="276">
        <v>45987</v>
      </c>
      <c r="H28" s="276">
        <v>45988</v>
      </c>
      <c r="I28" s="276">
        <v>45989</v>
      </c>
    </row>
    <row r="29" spans="1:9" ht="14.45">
      <c r="A29" s="50" t="s">
        <v>622</v>
      </c>
      <c r="B29" s="74" t="s">
        <v>601</v>
      </c>
      <c r="C29" s="102" t="s">
        <v>599</v>
      </c>
      <c r="D29" s="35" t="s">
        <v>623</v>
      </c>
      <c r="E29" s="35" t="s">
        <v>624</v>
      </c>
      <c r="F29" s="35" t="s">
        <v>601</v>
      </c>
      <c r="G29" s="35" t="s">
        <v>601</v>
      </c>
      <c r="H29" s="102" t="s">
        <v>583</v>
      </c>
      <c r="I29" s="102" t="s">
        <v>583</v>
      </c>
    </row>
    <row r="30" spans="1:9" ht="14.45">
      <c r="A30" s="50" t="s">
        <v>625</v>
      </c>
      <c r="B30" s="74" t="s">
        <v>601</v>
      </c>
      <c r="C30" s="74" t="s">
        <v>626</v>
      </c>
      <c r="D30" s="102" t="s">
        <v>599</v>
      </c>
      <c r="E30" s="35" t="s">
        <v>624</v>
      </c>
      <c r="F30" s="35" t="s">
        <v>601</v>
      </c>
      <c r="G30" s="35" t="s">
        <v>601</v>
      </c>
      <c r="H30" s="102" t="s">
        <v>583</v>
      </c>
      <c r="I30" s="102" t="s">
        <v>583</v>
      </c>
    </row>
    <row r="31" spans="1:9" ht="14.45">
      <c r="A31" s="51" t="s">
        <v>627</v>
      </c>
      <c r="B31" s="32" t="s">
        <v>628</v>
      </c>
      <c r="C31" s="33" t="s">
        <v>420</v>
      </c>
      <c r="D31" s="32" t="s">
        <v>628</v>
      </c>
      <c r="E31" s="33" t="s">
        <v>420</v>
      </c>
      <c r="F31" s="32" t="s">
        <v>628</v>
      </c>
      <c r="G31" s="33" t="s">
        <v>420</v>
      </c>
      <c r="H31" s="102" t="s">
        <v>583</v>
      </c>
      <c r="I31" s="102" t="s">
        <v>583</v>
      </c>
    </row>
    <row r="32" spans="1:9" thickBot="1"/>
    <row r="33" spans="1:9" thickBot="1">
      <c r="A33" s="479" t="s">
        <v>629</v>
      </c>
      <c r="B33" s="480"/>
      <c r="C33" s="480"/>
      <c r="D33" s="480"/>
      <c r="E33" s="480"/>
      <c r="F33" s="480"/>
      <c r="G33" s="480"/>
      <c r="H33" s="480"/>
      <c r="I33" s="480"/>
    </row>
    <row r="34" spans="1:9" ht="14.45">
      <c r="A34" s="49"/>
      <c r="B34" s="276">
        <v>45982</v>
      </c>
      <c r="C34" s="276">
        <v>45983</v>
      </c>
      <c r="D34" s="276">
        <v>45984</v>
      </c>
      <c r="E34" s="276">
        <v>45985</v>
      </c>
      <c r="F34" s="276">
        <v>45986</v>
      </c>
      <c r="G34" s="276">
        <v>45987</v>
      </c>
      <c r="H34" s="276">
        <v>45988</v>
      </c>
      <c r="I34" s="276">
        <v>45989</v>
      </c>
    </row>
    <row r="35" spans="1:9" ht="14.45">
      <c r="A35" s="50" t="s">
        <v>630</v>
      </c>
      <c r="B35" s="101" t="s">
        <v>631</v>
      </c>
      <c r="C35" s="35" t="s">
        <v>626</v>
      </c>
      <c r="D35" s="35" t="s">
        <v>623</v>
      </c>
      <c r="E35" s="35" t="s">
        <v>624</v>
      </c>
      <c r="F35" s="35" t="s">
        <v>601</v>
      </c>
      <c r="G35" s="35" t="s">
        <v>601</v>
      </c>
      <c r="H35" s="102" t="s">
        <v>583</v>
      </c>
      <c r="I35" s="102" t="s">
        <v>583</v>
      </c>
    </row>
    <row r="36" spans="1:9" ht="14.45">
      <c r="A36" s="50" t="s">
        <v>632</v>
      </c>
      <c r="B36" s="101" t="s">
        <v>633</v>
      </c>
      <c r="C36" s="35" t="s">
        <v>626</v>
      </c>
      <c r="D36" s="35" t="s">
        <v>623</v>
      </c>
      <c r="E36" s="35" t="s">
        <v>624</v>
      </c>
      <c r="F36" s="35" t="s">
        <v>601</v>
      </c>
      <c r="G36" s="35" t="s">
        <v>601</v>
      </c>
      <c r="H36" s="102" t="s">
        <v>583</v>
      </c>
      <c r="I36" s="102" t="s">
        <v>583</v>
      </c>
    </row>
    <row r="37" spans="1:9" ht="29.1">
      <c r="A37" s="50" t="s">
        <v>607</v>
      </c>
      <c r="B37" s="35" t="s">
        <v>600</v>
      </c>
      <c r="C37" s="35" t="s">
        <v>626</v>
      </c>
      <c r="D37" s="42" t="s">
        <v>634</v>
      </c>
      <c r="E37" s="35" t="s">
        <v>635</v>
      </c>
      <c r="F37" s="35" t="s">
        <v>635</v>
      </c>
      <c r="G37" s="35" t="s">
        <v>635</v>
      </c>
      <c r="H37" s="102" t="s">
        <v>583</v>
      </c>
      <c r="I37" s="102" t="s">
        <v>583</v>
      </c>
    </row>
    <row r="38" spans="1:9" ht="14.45">
      <c r="A38" s="50" t="s">
        <v>622</v>
      </c>
      <c r="B38" s="74" t="s">
        <v>601</v>
      </c>
      <c r="C38" s="102" t="s">
        <v>599</v>
      </c>
      <c r="D38" s="35" t="s">
        <v>623</v>
      </c>
      <c r="E38" s="35" t="s">
        <v>624</v>
      </c>
      <c r="F38" s="35" t="s">
        <v>601</v>
      </c>
      <c r="G38" s="35" t="s">
        <v>601</v>
      </c>
      <c r="H38" s="102" t="s">
        <v>583</v>
      </c>
      <c r="I38" s="102" t="s">
        <v>583</v>
      </c>
    </row>
    <row r="39" spans="1:9" ht="14.45">
      <c r="A39" s="50" t="s">
        <v>636</v>
      </c>
      <c r="B39" s="35" t="s">
        <v>637</v>
      </c>
      <c r="C39" s="35" t="s">
        <v>638</v>
      </c>
      <c r="D39" s="35" t="s">
        <v>639</v>
      </c>
      <c r="E39" s="35" t="s">
        <v>600</v>
      </c>
      <c r="F39" s="35" t="s">
        <v>600</v>
      </c>
      <c r="G39" s="35" t="s">
        <v>600</v>
      </c>
      <c r="H39" s="102" t="s">
        <v>583</v>
      </c>
      <c r="I39" s="102" t="s">
        <v>583</v>
      </c>
    </row>
    <row r="40" spans="1:9" s="355" customFormat="1" ht="43.5">
      <c r="A40" s="50" t="s">
        <v>640</v>
      </c>
      <c r="B40" s="353" t="s">
        <v>641</v>
      </c>
      <c r="C40" s="353" t="s">
        <v>642</v>
      </c>
      <c r="D40" s="354" t="s">
        <v>643</v>
      </c>
      <c r="E40" s="354" t="s">
        <v>644</v>
      </c>
      <c r="F40" s="354" t="s">
        <v>644</v>
      </c>
      <c r="G40" s="354" t="s">
        <v>644</v>
      </c>
      <c r="H40" s="102" t="s">
        <v>583</v>
      </c>
      <c r="I40" s="102" t="s">
        <v>583</v>
      </c>
    </row>
    <row r="41" spans="1:9" ht="14.45">
      <c r="A41" s="51" t="s">
        <v>645</v>
      </c>
      <c r="B41" s="32"/>
      <c r="C41" s="32"/>
      <c r="D41" s="32"/>
      <c r="E41" s="32"/>
      <c r="F41" s="32"/>
      <c r="G41" s="32"/>
      <c r="H41" s="102" t="s">
        <v>583</v>
      </c>
      <c r="I41" s="102" t="s">
        <v>583</v>
      </c>
    </row>
    <row r="42" spans="1:9" ht="14.45">
      <c r="A42" s="51" t="s">
        <v>646</v>
      </c>
      <c r="B42" s="32"/>
      <c r="C42" s="32"/>
      <c r="D42" s="32"/>
      <c r="E42" s="32"/>
      <c r="F42" s="32" t="s">
        <v>592</v>
      </c>
      <c r="G42" s="32" t="s">
        <v>592</v>
      </c>
      <c r="H42" s="102" t="s">
        <v>583</v>
      </c>
      <c r="I42" s="102" t="s">
        <v>583</v>
      </c>
    </row>
    <row r="43" spans="1:9" ht="14.45">
      <c r="A43" s="51" t="s">
        <v>647</v>
      </c>
      <c r="B43" s="32"/>
      <c r="C43" s="32"/>
      <c r="D43" s="32"/>
      <c r="E43" s="32"/>
      <c r="F43" s="32"/>
      <c r="G43" s="32"/>
      <c r="H43" s="102"/>
      <c r="I43" s="102"/>
    </row>
    <row r="44" spans="1:9" ht="14.45">
      <c r="A44" s="51" t="s">
        <v>639</v>
      </c>
      <c r="B44" s="32"/>
      <c r="C44" s="32"/>
      <c r="D44" s="32"/>
      <c r="E44" s="32"/>
      <c r="F44" s="32"/>
      <c r="G44" s="32"/>
      <c r="H44" s="102" t="s">
        <v>583</v>
      </c>
      <c r="I44" s="102" t="s">
        <v>583</v>
      </c>
    </row>
    <row r="45" spans="1:9" thickBot="1"/>
    <row r="46" spans="1:9" thickBot="1">
      <c r="A46" s="479" t="s">
        <v>648</v>
      </c>
      <c r="B46" s="480"/>
      <c r="C46" s="480"/>
      <c r="D46" s="480"/>
      <c r="E46" s="480"/>
      <c r="F46" s="480"/>
      <c r="G46" s="480"/>
      <c r="H46" s="480"/>
      <c r="I46" s="480"/>
    </row>
    <row r="47" spans="1:9" ht="14.45">
      <c r="A47" s="49"/>
      <c r="B47" s="276">
        <v>45982</v>
      </c>
      <c r="C47" s="276">
        <v>45983</v>
      </c>
      <c r="D47" s="276">
        <v>45984</v>
      </c>
      <c r="E47" s="276">
        <v>45985</v>
      </c>
      <c r="F47" s="276">
        <v>45986</v>
      </c>
      <c r="G47" s="276">
        <v>45987</v>
      </c>
      <c r="H47" s="276">
        <v>45988</v>
      </c>
      <c r="I47" s="276">
        <v>45989</v>
      </c>
    </row>
    <row r="48" spans="1:9" ht="14.45">
      <c r="A48" s="50" t="s">
        <v>649</v>
      </c>
      <c r="B48" s="35" t="s">
        <v>650</v>
      </c>
      <c r="C48" s="35" t="s">
        <v>600</v>
      </c>
      <c r="D48" s="35" t="s">
        <v>600</v>
      </c>
      <c r="E48" s="35" t="s">
        <v>601</v>
      </c>
      <c r="F48" s="35" t="s">
        <v>601</v>
      </c>
      <c r="G48" s="35" t="s">
        <v>601</v>
      </c>
      <c r="H48" s="102" t="s">
        <v>583</v>
      </c>
      <c r="I48" s="102" t="s">
        <v>583</v>
      </c>
    </row>
    <row r="49" spans="1:9" ht="14.45">
      <c r="A49" s="50" t="s">
        <v>636</v>
      </c>
      <c r="B49" s="35" t="s">
        <v>650</v>
      </c>
      <c r="C49" s="35" t="s">
        <v>600</v>
      </c>
      <c r="D49" s="35" t="s">
        <v>600</v>
      </c>
      <c r="E49" s="35" t="s">
        <v>601</v>
      </c>
      <c r="F49" s="35" t="s">
        <v>601</v>
      </c>
      <c r="G49" s="35" t="s">
        <v>601</v>
      </c>
      <c r="H49" s="102" t="s">
        <v>583</v>
      </c>
      <c r="I49" s="102" t="s">
        <v>583</v>
      </c>
    </row>
    <row r="50" spans="1:9" s="355" customFormat="1" ht="43.5">
      <c r="A50" s="50" t="s">
        <v>640</v>
      </c>
      <c r="B50" s="353" t="s">
        <v>641</v>
      </c>
      <c r="C50" s="353" t="s">
        <v>642</v>
      </c>
      <c r="D50" s="354" t="s">
        <v>643</v>
      </c>
      <c r="E50" s="354" t="s">
        <v>644</v>
      </c>
      <c r="F50" s="354" t="s">
        <v>644</v>
      </c>
      <c r="G50" s="354" t="s">
        <v>644</v>
      </c>
      <c r="H50" s="102" t="s">
        <v>583</v>
      </c>
      <c r="I50" s="102" t="s">
        <v>583</v>
      </c>
    </row>
    <row r="51" spans="1:9" ht="43.5">
      <c r="A51" s="50" t="s">
        <v>605</v>
      </c>
      <c r="B51" s="101" t="s">
        <v>651</v>
      </c>
      <c r="C51" s="35" t="s">
        <v>600</v>
      </c>
      <c r="D51" s="35" t="s">
        <v>600</v>
      </c>
      <c r="E51" s="35" t="s">
        <v>601</v>
      </c>
      <c r="F51" s="35" t="s">
        <v>601</v>
      </c>
      <c r="G51" s="35" t="s">
        <v>601</v>
      </c>
      <c r="H51" s="102" t="s">
        <v>583</v>
      </c>
      <c r="I51" s="102" t="s">
        <v>583</v>
      </c>
    </row>
    <row r="52" spans="1:9" ht="14.45">
      <c r="A52" s="50" t="s">
        <v>622</v>
      </c>
      <c r="B52" s="35" t="s">
        <v>601</v>
      </c>
      <c r="C52" s="102" t="s">
        <v>599</v>
      </c>
      <c r="D52" s="35" t="s">
        <v>623</v>
      </c>
      <c r="E52" s="35" t="s">
        <v>624</v>
      </c>
      <c r="F52" s="35" t="s">
        <v>601</v>
      </c>
      <c r="G52" s="35" t="s">
        <v>601</v>
      </c>
      <c r="H52" s="102" t="s">
        <v>583</v>
      </c>
      <c r="I52" s="102" t="s">
        <v>583</v>
      </c>
    </row>
    <row r="53" spans="1:9" ht="14.45">
      <c r="A53" s="51" t="s">
        <v>652</v>
      </c>
      <c r="B53" s="32"/>
      <c r="C53" s="32"/>
      <c r="D53" s="32"/>
      <c r="E53" s="32"/>
      <c r="F53" s="32"/>
      <c r="G53" s="32"/>
      <c r="H53" s="102" t="s">
        <v>583</v>
      </c>
      <c r="I53" s="102" t="s">
        <v>583</v>
      </c>
    </row>
    <row r="54" spans="1:9" ht="14.45">
      <c r="A54" s="51" t="s">
        <v>653</v>
      </c>
      <c r="B54" s="32"/>
      <c r="C54" s="32"/>
      <c r="D54" s="32"/>
      <c r="E54" s="32"/>
      <c r="F54" s="32"/>
      <c r="G54" s="32"/>
      <c r="H54" s="102" t="s">
        <v>583</v>
      </c>
      <c r="I54" s="102" t="s">
        <v>583</v>
      </c>
    </row>
    <row r="55" spans="1:9" ht="14.45">
      <c r="A55" s="51" t="s">
        <v>654</v>
      </c>
      <c r="B55" s="32"/>
      <c r="C55" s="32"/>
      <c r="D55" s="32"/>
      <c r="E55" s="32"/>
      <c r="F55" s="32"/>
      <c r="G55" s="32"/>
      <c r="H55" s="102" t="s">
        <v>583</v>
      </c>
      <c r="I55" s="102" t="s">
        <v>583</v>
      </c>
    </row>
    <row r="56" spans="1:9" ht="14.45">
      <c r="A56" s="51" t="s">
        <v>655</v>
      </c>
      <c r="B56" s="32"/>
      <c r="C56" s="32"/>
      <c r="D56" s="32"/>
      <c r="E56" s="32"/>
      <c r="F56" s="32" t="s">
        <v>592</v>
      </c>
      <c r="G56" s="32" t="s">
        <v>592</v>
      </c>
      <c r="H56" s="102"/>
      <c r="I56" s="102"/>
    </row>
    <row r="57" spans="1:9" ht="14.45">
      <c r="A57" s="51" t="s">
        <v>639</v>
      </c>
      <c r="B57" s="32"/>
      <c r="C57" s="32"/>
      <c r="D57" s="32"/>
      <c r="E57" s="32"/>
      <c r="F57" s="32"/>
      <c r="G57" s="32"/>
      <c r="H57" s="102" t="s">
        <v>583</v>
      </c>
      <c r="I57" s="102" t="s">
        <v>583</v>
      </c>
    </row>
    <row r="58" spans="1:9" thickBot="1"/>
    <row r="59" spans="1:9" thickBot="1">
      <c r="A59" s="479" t="s">
        <v>656</v>
      </c>
      <c r="B59" s="480"/>
      <c r="C59" s="480"/>
      <c r="D59" s="480"/>
      <c r="E59" s="480"/>
      <c r="F59" s="480"/>
      <c r="G59" s="480"/>
      <c r="H59" s="480"/>
      <c r="I59" s="480"/>
    </row>
    <row r="60" spans="1:9" ht="14.45">
      <c r="A60" s="49"/>
      <c r="B60" s="276">
        <v>45982</v>
      </c>
      <c r="C60" s="276">
        <v>45983</v>
      </c>
      <c r="D60" s="276">
        <v>45984</v>
      </c>
      <c r="E60" s="276">
        <v>45985</v>
      </c>
      <c r="F60" s="276">
        <v>45986</v>
      </c>
      <c r="G60" s="276">
        <v>45987</v>
      </c>
      <c r="H60" s="276">
        <v>45988</v>
      </c>
      <c r="I60" s="276">
        <v>45989</v>
      </c>
    </row>
    <row r="61" spans="1:9" ht="14.45">
      <c r="A61" s="50" t="s">
        <v>657</v>
      </c>
      <c r="B61" s="102" t="s">
        <v>599</v>
      </c>
      <c r="C61" s="35" t="s">
        <v>600</v>
      </c>
      <c r="D61" s="35" t="s">
        <v>600</v>
      </c>
      <c r="E61" s="35" t="s">
        <v>601</v>
      </c>
      <c r="F61" s="35" t="s">
        <v>601</v>
      </c>
      <c r="G61" s="35" t="s">
        <v>601</v>
      </c>
      <c r="H61" s="102" t="s">
        <v>583</v>
      </c>
      <c r="I61" s="102" t="s">
        <v>583</v>
      </c>
    </row>
    <row r="62" spans="1:9" ht="14.45">
      <c r="A62" s="50" t="s">
        <v>658</v>
      </c>
      <c r="B62" s="35" t="s">
        <v>600</v>
      </c>
      <c r="C62" s="35" t="s">
        <v>600</v>
      </c>
      <c r="D62" s="35" t="s">
        <v>600</v>
      </c>
      <c r="E62" s="35" t="s">
        <v>601</v>
      </c>
      <c r="F62" s="35" t="s">
        <v>601</v>
      </c>
      <c r="G62" s="35" t="s">
        <v>601</v>
      </c>
      <c r="H62" s="102" t="s">
        <v>583</v>
      </c>
      <c r="I62" s="102" t="s">
        <v>583</v>
      </c>
    </row>
    <row r="63" spans="1:9" ht="14.45">
      <c r="A63" s="50" t="s">
        <v>659</v>
      </c>
      <c r="B63" s="35" t="s">
        <v>660</v>
      </c>
      <c r="C63" s="35" t="s">
        <v>660</v>
      </c>
      <c r="D63" s="35" t="s">
        <v>660</v>
      </c>
      <c r="E63" s="35" t="s">
        <v>661</v>
      </c>
      <c r="F63" s="35" t="s">
        <v>661</v>
      </c>
      <c r="G63" s="35" t="s">
        <v>661</v>
      </c>
      <c r="H63" s="102" t="s">
        <v>583</v>
      </c>
      <c r="I63" s="102" t="s">
        <v>583</v>
      </c>
    </row>
    <row r="64" spans="1:9" ht="14.45">
      <c r="A64" s="266" t="s">
        <v>608</v>
      </c>
      <c r="B64" s="102" t="s">
        <v>599</v>
      </c>
      <c r="C64" s="35" t="s">
        <v>600</v>
      </c>
      <c r="D64" s="35" t="s">
        <v>600</v>
      </c>
      <c r="E64" s="35" t="s">
        <v>601</v>
      </c>
      <c r="F64" s="35" t="s">
        <v>601</v>
      </c>
      <c r="G64" s="35" t="s">
        <v>601</v>
      </c>
      <c r="H64" s="102" t="s">
        <v>583</v>
      </c>
      <c r="I64" s="102" t="s">
        <v>583</v>
      </c>
    </row>
    <row r="65" spans="1:9" ht="14.45">
      <c r="A65" s="266" t="s">
        <v>609</v>
      </c>
      <c r="B65" s="35" t="s">
        <v>600</v>
      </c>
      <c r="C65" s="35" t="s">
        <v>600</v>
      </c>
      <c r="D65" s="35" t="s">
        <v>600</v>
      </c>
      <c r="E65" s="35" t="s">
        <v>601</v>
      </c>
      <c r="F65" s="35" t="s">
        <v>601</v>
      </c>
      <c r="G65" s="35" t="s">
        <v>601</v>
      </c>
      <c r="H65" s="102" t="s">
        <v>583</v>
      </c>
      <c r="I65" s="102" t="s">
        <v>583</v>
      </c>
    </row>
    <row r="66" spans="1:9" ht="14.45">
      <c r="A66" s="266" t="s">
        <v>610</v>
      </c>
      <c r="B66" s="102" t="s">
        <v>599</v>
      </c>
      <c r="C66" s="35" t="s">
        <v>600</v>
      </c>
      <c r="D66" s="35" t="s">
        <v>600</v>
      </c>
      <c r="E66" s="35" t="s">
        <v>601</v>
      </c>
      <c r="F66" s="35" t="s">
        <v>601</v>
      </c>
      <c r="G66" s="35" t="s">
        <v>601</v>
      </c>
      <c r="H66" s="102" t="s">
        <v>583</v>
      </c>
      <c r="I66" s="102" t="s">
        <v>583</v>
      </c>
    </row>
    <row r="67" spans="1:9" ht="14.45">
      <c r="A67" s="50" t="s">
        <v>622</v>
      </c>
      <c r="B67" s="35" t="s">
        <v>601</v>
      </c>
      <c r="C67" s="102" t="s">
        <v>599</v>
      </c>
      <c r="D67" s="35" t="s">
        <v>623</v>
      </c>
      <c r="E67" s="35" t="s">
        <v>624</v>
      </c>
      <c r="F67" s="35" t="s">
        <v>601</v>
      </c>
      <c r="G67" s="35" t="s">
        <v>601</v>
      </c>
      <c r="H67" s="102" t="s">
        <v>583</v>
      </c>
      <c r="I67" s="102" t="s">
        <v>583</v>
      </c>
    </row>
    <row r="68" spans="1:9" ht="14.45">
      <c r="A68" s="53" t="s">
        <v>598</v>
      </c>
      <c r="B68" s="102" t="s">
        <v>599</v>
      </c>
      <c r="C68" s="35" t="s">
        <v>600</v>
      </c>
      <c r="D68" s="35" t="s">
        <v>600</v>
      </c>
      <c r="E68" s="35" t="s">
        <v>601</v>
      </c>
      <c r="F68" s="35" t="s">
        <v>601</v>
      </c>
      <c r="G68" s="35" t="s">
        <v>601</v>
      </c>
      <c r="H68" s="102" t="s">
        <v>583</v>
      </c>
      <c r="I68" s="102" t="s">
        <v>583</v>
      </c>
    </row>
    <row r="69" spans="1:9" ht="14.45">
      <c r="A69" s="50" t="s">
        <v>602</v>
      </c>
      <c r="B69" s="102" t="s">
        <v>599</v>
      </c>
      <c r="C69" s="35" t="s">
        <v>600</v>
      </c>
      <c r="D69" s="35" t="s">
        <v>600</v>
      </c>
      <c r="E69" s="35" t="s">
        <v>601</v>
      </c>
      <c r="F69" s="35" t="s">
        <v>601</v>
      </c>
      <c r="G69" s="35" t="s">
        <v>601</v>
      </c>
      <c r="H69" s="102" t="s">
        <v>583</v>
      </c>
      <c r="I69" s="102" t="s">
        <v>583</v>
      </c>
    </row>
    <row r="70" spans="1:9">
      <c r="A70" s="472" t="s">
        <v>662</v>
      </c>
      <c r="B70" s="32"/>
      <c r="C70" s="32"/>
      <c r="D70" s="32"/>
      <c r="E70" s="32"/>
      <c r="F70" s="32"/>
      <c r="G70" s="32"/>
      <c r="H70" s="102" t="s">
        <v>583</v>
      </c>
      <c r="I70" s="102" t="s">
        <v>583</v>
      </c>
    </row>
    <row r="71" spans="1:9" ht="14.45">
      <c r="A71" s="51" t="s">
        <v>639</v>
      </c>
      <c r="B71" s="32"/>
      <c r="C71" s="32"/>
      <c r="D71" s="32"/>
      <c r="E71" s="32"/>
      <c r="F71" s="32"/>
      <c r="G71" s="32"/>
      <c r="H71" s="102" t="s">
        <v>583</v>
      </c>
      <c r="I71" s="102" t="s">
        <v>583</v>
      </c>
    </row>
    <row r="72" spans="1:9" thickBot="1"/>
    <row r="73" spans="1:9" thickBot="1">
      <c r="A73" s="479" t="s">
        <v>663</v>
      </c>
      <c r="B73" s="480"/>
      <c r="C73" s="480"/>
      <c r="D73" s="480"/>
      <c r="E73" s="480"/>
      <c r="F73" s="480"/>
      <c r="G73" s="480"/>
      <c r="H73" s="480"/>
      <c r="I73" s="480"/>
    </row>
    <row r="74" spans="1:9" ht="14.45">
      <c r="A74" s="49"/>
      <c r="B74" s="276">
        <v>45982</v>
      </c>
      <c r="C74" s="276">
        <v>45983</v>
      </c>
      <c r="D74" s="276">
        <v>45984</v>
      </c>
      <c r="E74" s="276">
        <v>45985</v>
      </c>
      <c r="F74" s="276">
        <v>45986</v>
      </c>
      <c r="G74" s="276">
        <v>45987</v>
      </c>
      <c r="H74" s="276">
        <v>45988</v>
      </c>
      <c r="I74" s="276">
        <v>45989</v>
      </c>
    </row>
    <row r="75" spans="1:9" ht="14.45">
      <c r="A75" s="50" t="s">
        <v>664</v>
      </c>
      <c r="B75" s="74" t="s">
        <v>600</v>
      </c>
      <c r="C75" s="286" t="s">
        <v>665</v>
      </c>
      <c r="D75" s="102" t="s">
        <v>599</v>
      </c>
      <c r="E75" s="35" t="s">
        <v>601</v>
      </c>
      <c r="F75" s="35" t="s">
        <v>601</v>
      </c>
      <c r="G75" s="35" t="s">
        <v>601</v>
      </c>
      <c r="H75" s="102" t="s">
        <v>583</v>
      </c>
      <c r="I75" s="102" t="s">
        <v>583</v>
      </c>
    </row>
    <row r="76" spans="1:9" ht="14.45">
      <c r="A76" s="50" t="s">
        <v>636</v>
      </c>
      <c r="B76" s="35" t="s">
        <v>600</v>
      </c>
      <c r="C76" s="286" t="s">
        <v>665</v>
      </c>
      <c r="D76" s="35"/>
      <c r="E76" s="35" t="s">
        <v>601</v>
      </c>
      <c r="F76" s="35" t="s">
        <v>601</v>
      </c>
      <c r="G76" s="35" t="s">
        <v>601</v>
      </c>
      <c r="H76" s="102" t="s">
        <v>583</v>
      </c>
      <c r="I76" s="102" t="s">
        <v>583</v>
      </c>
    </row>
    <row r="77" spans="1:9" ht="43.5">
      <c r="A77" s="50" t="s">
        <v>640</v>
      </c>
      <c r="B77" s="353" t="s">
        <v>641</v>
      </c>
      <c r="C77" s="353" t="s">
        <v>642</v>
      </c>
      <c r="D77" s="354"/>
      <c r="E77" s="354" t="s">
        <v>644</v>
      </c>
      <c r="F77" s="354" t="s">
        <v>644</v>
      </c>
      <c r="G77" s="354" t="s">
        <v>644</v>
      </c>
      <c r="H77" s="102" t="s">
        <v>583</v>
      </c>
      <c r="I77" s="102" t="s">
        <v>583</v>
      </c>
    </row>
    <row r="78" spans="1:9" ht="14.45">
      <c r="A78" s="50" t="s">
        <v>666</v>
      </c>
      <c r="B78" s="35" t="s">
        <v>600</v>
      </c>
      <c r="C78" s="286" t="s">
        <v>665</v>
      </c>
      <c r="D78" s="35"/>
      <c r="E78" s="35" t="s">
        <v>601</v>
      </c>
      <c r="F78" s="35" t="s">
        <v>601</v>
      </c>
      <c r="G78" s="35" t="s">
        <v>601</v>
      </c>
      <c r="H78" s="102" t="s">
        <v>583</v>
      </c>
      <c r="I78" s="102" t="s">
        <v>583</v>
      </c>
    </row>
    <row r="79" spans="1:9" ht="14.45">
      <c r="A79" s="266" t="s">
        <v>608</v>
      </c>
      <c r="B79" s="102" t="s">
        <v>599</v>
      </c>
      <c r="C79" s="286" t="s">
        <v>665</v>
      </c>
      <c r="D79" s="35"/>
      <c r="E79" s="35" t="s">
        <v>601</v>
      </c>
      <c r="F79" s="35" t="s">
        <v>601</v>
      </c>
      <c r="G79" s="35" t="s">
        <v>601</v>
      </c>
      <c r="H79" s="102" t="s">
        <v>583</v>
      </c>
      <c r="I79" s="102" t="s">
        <v>583</v>
      </c>
    </row>
    <row r="80" spans="1:9" ht="14.45">
      <c r="A80" s="266" t="s">
        <v>609</v>
      </c>
      <c r="B80" s="35" t="s">
        <v>600</v>
      </c>
      <c r="C80" s="286" t="s">
        <v>665</v>
      </c>
      <c r="D80" s="35"/>
      <c r="E80" s="35" t="s">
        <v>601</v>
      </c>
      <c r="F80" s="35" t="s">
        <v>601</v>
      </c>
      <c r="G80" s="35" t="s">
        <v>601</v>
      </c>
      <c r="H80" s="102" t="s">
        <v>583</v>
      </c>
      <c r="I80" s="102" t="s">
        <v>583</v>
      </c>
    </row>
    <row r="81" spans="1:9" ht="14.45">
      <c r="A81" s="285" t="s">
        <v>667</v>
      </c>
      <c r="B81" s="35" t="s">
        <v>600</v>
      </c>
      <c r="C81" s="35" t="s">
        <v>665</v>
      </c>
      <c r="D81" s="35"/>
      <c r="E81" s="35" t="s">
        <v>601</v>
      </c>
      <c r="F81" s="35" t="s">
        <v>601</v>
      </c>
      <c r="G81" s="35" t="s">
        <v>601</v>
      </c>
      <c r="H81" s="102" t="s">
        <v>583</v>
      </c>
      <c r="I81" s="102" t="s">
        <v>583</v>
      </c>
    </row>
    <row r="82" spans="1:9" ht="14.45">
      <c r="A82" s="51" t="s">
        <v>668</v>
      </c>
      <c r="B82" s="32"/>
      <c r="C82" s="32"/>
      <c r="D82" s="32"/>
      <c r="E82" s="32"/>
      <c r="F82" s="32"/>
      <c r="G82" s="32"/>
      <c r="H82" s="102" t="s">
        <v>583</v>
      </c>
      <c r="I82" s="102" t="s">
        <v>583</v>
      </c>
    </row>
    <row r="83" spans="1:9" ht="14.45">
      <c r="A83" s="51" t="s">
        <v>639</v>
      </c>
      <c r="B83" s="32"/>
      <c r="C83" s="32"/>
      <c r="D83" s="32"/>
      <c r="E83" s="32"/>
      <c r="F83" s="32"/>
      <c r="G83" s="32"/>
      <c r="H83" s="102" t="s">
        <v>583</v>
      </c>
      <c r="I83" s="102" t="s">
        <v>583</v>
      </c>
    </row>
    <row r="84" spans="1:9" thickBot="1"/>
    <row r="85" spans="1:9" thickBot="1">
      <c r="A85" s="479" t="s">
        <v>669</v>
      </c>
      <c r="B85" s="480"/>
      <c r="C85" s="480"/>
      <c r="D85" s="480"/>
      <c r="E85" s="480"/>
      <c r="F85" s="480"/>
      <c r="G85" s="480"/>
      <c r="H85" s="480"/>
      <c r="I85" s="480"/>
    </row>
    <row r="86" spans="1:9" ht="14.45">
      <c r="A86" s="49"/>
      <c r="B86" s="276">
        <v>45982</v>
      </c>
      <c r="C86" s="276">
        <v>45983</v>
      </c>
      <c r="D86" s="276">
        <v>45984</v>
      </c>
      <c r="E86" s="276">
        <v>45985</v>
      </c>
      <c r="F86" s="276">
        <v>45986</v>
      </c>
      <c r="G86" s="276">
        <v>45987</v>
      </c>
      <c r="H86" s="276">
        <v>45988</v>
      </c>
      <c r="I86" s="276">
        <v>45989</v>
      </c>
    </row>
    <row r="87" spans="1:9" ht="14.45">
      <c r="A87" s="50" t="s">
        <v>670</v>
      </c>
      <c r="B87" s="35" t="s">
        <v>600</v>
      </c>
      <c r="C87" s="35" t="s">
        <v>600</v>
      </c>
      <c r="D87" s="35" t="s">
        <v>600</v>
      </c>
      <c r="E87" s="35" t="s">
        <v>601</v>
      </c>
      <c r="F87" s="35" t="s">
        <v>601</v>
      </c>
      <c r="G87" s="35" t="s">
        <v>601</v>
      </c>
      <c r="H87" s="102" t="s">
        <v>583</v>
      </c>
      <c r="I87" s="102" t="s">
        <v>583</v>
      </c>
    </row>
    <row r="88" spans="1:9" ht="14.45">
      <c r="A88" s="50" t="s">
        <v>636</v>
      </c>
      <c r="B88" s="35" t="s">
        <v>600</v>
      </c>
      <c r="C88" s="35" t="s">
        <v>600</v>
      </c>
      <c r="D88" s="35" t="s">
        <v>600</v>
      </c>
      <c r="E88" s="35" t="s">
        <v>601</v>
      </c>
      <c r="F88" s="35" t="s">
        <v>601</v>
      </c>
      <c r="G88" s="35" t="s">
        <v>601</v>
      </c>
      <c r="H88" s="102" t="s">
        <v>583</v>
      </c>
      <c r="I88" s="102" t="s">
        <v>583</v>
      </c>
    </row>
    <row r="89" spans="1:9" ht="14.45">
      <c r="A89" s="51" t="s">
        <v>671</v>
      </c>
      <c r="B89" s="32"/>
      <c r="C89" s="32"/>
      <c r="D89" s="32"/>
      <c r="E89" s="32"/>
      <c r="F89" s="32"/>
      <c r="G89" s="32"/>
      <c r="H89" s="102" t="s">
        <v>583</v>
      </c>
      <c r="I89" s="102" t="s">
        <v>583</v>
      </c>
    </row>
    <row r="90" spans="1:9" ht="14.45">
      <c r="A90" s="51" t="s">
        <v>639</v>
      </c>
      <c r="B90" s="32"/>
      <c r="C90" s="32"/>
      <c r="D90" s="32"/>
      <c r="E90" s="32"/>
      <c r="F90" s="32"/>
      <c r="G90" s="32"/>
      <c r="H90" s="102" t="s">
        <v>583</v>
      </c>
      <c r="I90" s="102" t="s">
        <v>583</v>
      </c>
    </row>
    <row r="91" spans="1:9" thickBot="1"/>
    <row r="92" spans="1:9" thickBot="1">
      <c r="A92" s="479" t="s">
        <v>672</v>
      </c>
      <c r="B92" s="480"/>
      <c r="C92" s="480"/>
      <c r="D92" s="480"/>
      <c r="E92" s="480"/>
      <c r="F92" s="480"/>
      <c r="G92" s="480"/>
      <c r="H92" s="480"/>
      <c r="I92" s="480"/>
    </row>
    <row r="93" spans="1:9" ht="14.45">
      <c r="A93" s="49"/>
      <c r="B93" s="276">
        <v>45982</v>
      </c>
      <c r="C93" s="276">
        <v>45983</v>
      </c>
      <c r="D93" s="276">
        <v>45984</v>
      </c>
      <c r="E93" s="276">
        <v>45985</v>
      </c>
      <c r="F93" s="276">
        <v>45986</v>
      </c>
      <c r="G93" s="276">
        <v>45987</v>
      </c>
      <c r="H93" s="276">
        <v>45988</v>
      </c>
      <c r="I93" s="276">
        <v>45989</v>
      </c>
    </row>
    <row r="94" spans="1:9" ht="14.45">
      <c r="A94" s="50" t="s">
        <v>673</v>
      </c>
      <c r="B94" s="35" t="s">
        <v>600</v>
      </c>
      <c r="C94" s="35" t="s">
        <v>600</v>
      </c>
      <c r="D94" s="35" t="s">
        <v>674</v>
      </c>
      <c r="E94" s="35" t="s">
        <v>601</v>
      </c>
      <c r="F94" s="35" t="s">
        <v>601</v>
      </c>
      <c r="G94" s="35" t="s">
        <v>601</v>
      </c>
      <c r="H94" s="102" t="s">
        <v>583</v>
      </c>
      <c r="I94" s="102" t="s">
        <v>583</v>
      </c>
    </row>
    <row r="95" spans="1:9" ht="14.45">
      <c r="A95" s="50" t="s">
        <v>675</v>
      </c>
      <c r="B95" s="35" t="s">
        <v>600</v>
      </c>
      <c r="C95" s="35" t="s">
        <v>600</v>
      </c>
      <c r="D95" s="35" t="s">
        <v>600</v>
      </c>
      <c r="E95" s="35" t="s">
        <v>601</v>
      </c>
      <c r="F95" s="35" t="s">
        <v>601</v>
      </c>
      <c r="G95" s="35" t="s">
        <v>676</v>
      </c>
      <c r="H95" s="102" t="s">
        <v>583</v>
      </c>
      <c r="I95" s="102" t="s">
        <v>583</v>
      </c>
    </row>
    <row r="96" spans="1:9" ht="14.45">
      <c r="A96" s="50" t="s">
        <v>677</v>
      </c>
      <c r="B96" s="35" t="s">
        <v>600</v>
      </c>
      <c r="C96" s="35" t="s">
        <v>678</v>
      </c>
      <c r="D96" s="35" t="s">
        <v>678</v>
      </c>
      <c r="E96" s="35" t="s">
        <v>678</v>
      </c>
      <c r="F96" s="35" t="s">
        <v>679</v>
      </c>
      <c r="G96" s="35" t="s">
        <v>679</v>
      </c>
      <c r="H96" s="102" t="s">
        <v>583</v>
      </c>
      <c r="I96" s="102" t="s">
        <v>583</v>
      </c>
    </row>
    <row r="97" spans="1:9" ht="14.45">
      <c r="A97" s="50" t="s">
        <v>680</v>
      </c>
      <c r="B97" s="35" t="s">
        <v>599</v>
      </c>
      <c r="C97" s="35" t="s">
        <v>600</v>
      </c>
      <c r="D97" s="35" t="s">
        <v>600</v>
      </c>
      <c r="E97" s="35" t="s">
        <v>601</v>
      </c>
      <c r="F97" s="35" t="s">
        <v>601</v>
      </c>
      <c r="G97" s="35" t="s">
        <v>601</v>
      </c>
      <c r="H97" s="102" t="s">
        <v>583</v>
      </c>
      <c r="I97" s="102" t="s">
        <v>583</v>
      </c>
    </row>
    <row r="98" spans="1:9" ht="14.45">
      <c r="A98" s="50" t="s">
        <v>681</v>
      </c>
      <c r="B98" s="35" t="s">
        <v>676</v>
      </c>
      <c r="C98" s="35" t="s">
        <v>676</v>
      </c>
      <c r="D98" s="35" t="s">
        <v>676</v>
      </c>
      <c r="E98" s="35" t="s">
        <v>682</v>
      </c>
      <c r="F98" s="35" t="s">
        <v>682</v>
      </c>
      <c r="G98" s="35" t="s">
        <v>682</v>
      </c>
      <c r="H98" s="102" t="s">
        <v>583</v>
      </c>
      <c r="I98" s="102" t="s">
        <v>583</v>
      </c>
    </row>
    <row r="99" spans="1:9" ht="14.45">
      <c r="A99" s="50" t="s">
        <v>683</v>
      </c>
      <c r="B99" s="460" t="s">
        <v>684</v>
      </c>
      <c r="C99" s="35" t="s">
        <v>685</v>
      </c>
      <c r="D99" s="35"/>
      <c r="E99" s="35" t="str">
        <f t="shared" ref="B99:I99" si="0">E23</f>
        <v xml:space="preserve">7 am - 6 pm </v>
      </c>
      <c r="F99" s="35" t="str">
        <f t="shared" si="0"/>
        <v xml:space="preserve">7 am - 6 pm </v>
      </c>
      <c r="G99" s="35" t="str">
        <f t="shared" si="0"/>
        <v xml:space="preserve">7 am - 6 pm </v>
      </c>
      <c r="H99" s="102" t="s">
        <v>583</v>
      </c>
      <c r="I99" s="102" t="s">
        <v>583</v>
      </c>
    </row>
    <row r="100" spans="1:9" ht="14.45">
      <c r="A100" s="51" t="s">
        <v>686</v>
      </c>
      <c r="B100" s="35" t="s">
        <v>600</v>
      </c>
      <c r="C100" s="35" t="s">
        <v>600</v>
      </c>
      <c r="D100" s="35" t="s">
        <v>600</v>
      </c>
      <c r="E100" s="35" t="s">
        <v>601</v>
      </c>
      <c r="F100" s="35" t="s">
        <v>601</v>
      </c>
      <c r="G100" s="35" t="s">
        <v>601</v>
      </c>
      <c r="H100" s="102" t="s">
        <v>583</v>
      </c>
      <c r="I100" s="102" t="s">
        <v>583</v>
      </c>
    </row>
    <row r="101" spans="1:9" ht="14.45">
      <c r="A101" s="51" t="s">
        <v>687</v>
      </c>
      <c r="B101" s="32" t="s">
        <v>600</v>
      </c>
      <c r="C101" s="32" t="s">
        <v>678</v>
      </c>
      <c r="D101" s="32" t="s">
        <v>678</v>
      </c>
      <c r="E101" s="32" t="s">
        <v>601</v>
      </c>
      <c r="F101" s="32" t="s">
        <v>601</v>
      </c>
      <c r="G101" s="32" t="s">
        <v>601</v>
      </c>
      <c r="H101" s="102" t="s">
        <v>583</v>
      </c>
      <c r="I101" s="102" t="s">
        <v>583</v>
      </c>
    </row>
    <row r="102" spans="1:9" ht="16.5" customHeight="1">
      <c r="A102" s="51" t="s">
        <v>688</v>
      </c>
      <c r="B102" s="358" t="s">
        <v>600</v>
      </c>
      <c r="C102" s="358" t="s">
        <v>600</v>
      </c>
      <c r="D102" s="358" t="s">
        <v>600</v>
      </c>
      <c r="E102" s="358" t="s">
        <v>601</v>
      </c>
      <c r="F102" s="358" t="s">
        <v>601</v>
      </c>
      <c r="G102" s="358" t="s">
        <v>601</v>
      </c>
      <c r="H102" s="102" t="s">
        <v>583</v>
      </c>
      <c r="I102" s="102" t="s">
        <v>583</v>
      </c>
    </row>
    <row r="103" spans="1:9" ht="14.45">
      <c r="A103" s="51" t="s">
        <v>639</v>
      </c>
      <c r="B103" s="32"/>
      <c r="C103" s="32"/>
      <c r="D103" s="32"/>
      <c r="E103" s="32"/>
      <c r="F103" s="32"/>
      <c r="G103" s="32"/>
      <c r="H103" s="102" t="s">
        <v>583</v>
      </c>
      <c r="I103" s="102" t="s">
        <v>583</v>
      </c>
    </row>
    <row r="104" spans="1:9" thickBot="1"/>
    <row r="105" spans="1:9" thickBot="1">
      <c r="A105" s="479" t="s">
        <v>689</v>
      </c>
      <c r="B105" s="480"/>
      <c r="C105" s="480"/>
      <c r="D105" s="480"/>
      <c r="E105" s="480"/>
      <c r="F105" s="480"/>
      <c r="G105" s="480"/>
      <c r="H105" s="480"/>
      <c r="I105" s="480"/>
    </row>
    <row r="106" spans="1:9" ht="14.45">
      <c r="A106" s="49"/>
      <c r="B106" s="276">
        <v>45982</v>
      </c>
      <c r="C106" s="276">
        <v>45983</v>
      </c>
      <c r="D106" s="276">
        <v>45984</v>
      </c>
      <c r="E106" s="276">
        <v>45985</v>
      </c>
      <c r="F106" s="276">
        <v>45986</v>
      </c>
      <c r="G106" s="276">
        <v>45987</v>
      </c>
      <c r="H106" s="276">
        <v>45988</v>
      </c>
      <c r="I106" s="276">
        <v>45989</v>
      </c>
    </row>
    <row r="107" spans="1:9" ht="14.45">
      <c r="A107" s="50" t="s">
        <v>690</v>
      </c>
      <c r="B107" s="74" t="s">
        <v>600</v>
      </c>
      <c r="C107" s="74" t="s">
        <v>600</v>
      </c>
      <c r="D107" s="35" t="s">
        <v>691</v>
      </c>
      <c r="E107" s="35" t="s">
        <v>600</v>
      </c>
      <c r="F107" s="35" t="s">
        <v>600</v>
      </c>
      <c r="G107" s="35" t="s">
        <v>600</v>
      </c>
      <c r="H107" s="102" t="s">
        <v>583</v>
      </c>
      <c r="I107" s="102" t="s">
        <v>583</v>
      </c>
    </row>
    <row r="108" spans="1:9" ht="14.45">
      <c r="A108" s="50" t="s">
        <v>692</v>
      </c>
      <c r="B108" s="35" t="s">
        <v>600</v>
      </c>
      <c r="C108" s="35" t="s">
        <v>600</v>
      </c>
      <c r="D108" s="35" t="s">
        <v>691</v>
      </c>
      <c r="E108" s="35" t="s">
        <v>600</v>
      </c>
      <c r="F108" s="35" t="s">
        <v>600</v>
      </c>
      <c r="G108" s="35" t="s">
        <v>600</v>
      </c>
      <c r="H108" s="102" t="s">
        <v>583</v>
      </c>
      <c r="I108" s="102" t="s">
        <v>583</v>
      </c>
    </row>
    <row r="109" spans="1:9" ht="14.45">
      <c r="A109" s="50" t="s">
        <v>693</v>
      </c>
      <c r="B109" s="35" t="s">
        <v>600</v>
      </c>
      <c r="C109" s="35" t="s">
        <v>600</v>
      </c>
      <c r="D109" s="35" t="s">
        <v>691</v>
      </c>
      <c r="E109" s="35" t="s">
        <v>600</v>
      </c>
      <c r="F109" s="35" t="s">
        <v>600</v>
      </c>
      <c r="G109" s="35" t="s">
        <v>600</v>
      </c>
      <c r="H109" s="102" t="s">
        <v>583</v>
      </c>
      <c r="I109" s="102" t="s">
        <v>583</v>
      </c>
    </row>
    <row r="110" spans="1:9" ht="14.45">
      <c r="A110" s="50" t="s">
        <v>694</v>
      </c>
      <c r="B110" s="35" t="s">
        <v>600</v>
      </c>
      <c r="C110" s="35" t="s">
        <v>600</v>
      </c>
      <c r="D110" s="35" t="s">
        <v>691</v>
      </c>
      <c r="E110" s="35" t="s">
        <v>600</v>
      </c>
      <c r="F110" s="35" t="s">
        <v>600</v>
      </c>
      <c r="G110" s="35" t="s">
        <v>600</v>
      </c>
      <c r="H110" s="102" t="s">
        <v>583</v>
      </c>
      <c r="I110" s="102" t="s">
        <v>583</v>
      </c>
    </row>
    <row r="111" spans="1:9" ht="14.45">
      <c r="A111" s="51" t="s">
        <v>695</v>
      </c>
      <c r="B111" s="32" t="s">
        <v>696</v>
      </c>
      <c r="C111" s="358" t="s">
        <v>600</v>
      </c>
      <c r="D111" s="32" t="s">
        <v>697</v>
      </c>
      <c r="E111" s="32" t="s">
        <v>624</v>
      </c>
      <c r="F111" s="358" t="s">
        <v>698</v>
      </c>
      <c r="G111" s="358" t="s">
        <v>698</v>
      </c>
      <c r="H111" s="102" t="s">
        <v>583</v>
      </c>
      <c r="I111" s="102" t="s">
        <v>583</v>
      </c>
    </row>
    <row r="112" spans="1:9" ht="14.45">
      <c r="A112" s="51" t="s">
        <v>639</v>
      </c>
      <c r="B112" s="32"/>
      <c r="C112" s="32"/>
      <c r="D112" s="32"/>
      <c r="E112" s="32"/>
      <c r="F112" s="32"/>
      <c r="G112" s="32"/>
      <c r="H112" s="102" t="s">
        <v>583</v>
      </c>
      <c r="I112" s="102" t="s">
        <v>583</v>
      </c>
    </row>
    <row r="113" spans="1:9" thickBot="1"/>
    <row r="114" spans="1:9" thickBot="1">
      <c r="A114" s="479" t="s">
        <v>699</v>
      </c>
      <c r="B114" s="480"/>
      <c r="C114" s="480"/>
      <c r="D114" s="480"/>
      <c r="E114" s="480"/>
      <c r="F114" s="480"/>
      <c r="G114" s="480"/>
      <c r="H114" s="480"/>
      <c r="I114" s="480"/>
    </row>
    <row r="115" spans="1:9" ht="14.45">
      <c r="A115" s="49"/>
      <c r="B115" s="276">
        <v>45982</v>
      </c>
      <c r="C115" s="276">
        <v>45983</v>
      </c>
      <c r="D115" s="276">
        <v>45984</v>
      </c>
      <c r="E115" s="276">
        <v>45985</v>
      </c>
      <c r="F115" s="276">
        <v>45986</v>
      </c>
      <c r="G115" s="276">
        <v>45987</v>
      </c>
      <c r="H115" s="276">
        <v>45988</v>
      </c>
      <c r="I115" s="276">
        <v>45989</v>
      </c>
    </row>
    <row r="116" spans="1:9" ht="14.45">
      <c r="A116" s="50" t="s">
        <v>700</v>
      </c>
      <c r="B116" s="473"/>
      <c r="C116" s="35" t="s">
        <v>600</v>
      </c>
      <c r="D116" s="35" t="s">
        <v>600</v>
      </c>
      <c r="E116" s="35" t="s">
        <v>601</v>
      </c>
      <c r="F116" s="35" t="s">
        <v>601</v>
      </c>
      <c r="G116" s="35" t="s">
        <v>601</v>
      </c>
      <c r="H116" s="102" t="s">
        <v>583</v>
      </c>
      <c r="I116" s="102" t="s">
        <v>583</v>
      </c>
    </row>
    <row r="117" spans="1:9" ht="14.45">
      <c r="A117" s="50" t="s">
        <v>701</v>
      </c>
      <c r="B117" s="473"/>
      <c r="C117" s="35" t="s">
        <v>600</v>
      </c>
      <c r="D117" s="35" t="s">
        <v>600</v>
      </c>
      <c r="E117" s="35" t="s">
        <v>601</v>
      </c>
      <c r="F117" s="35" t="s">
        <v>601</v>
      </c>
      <c r="G117" s="35" t="s">
        <v>601</v>
      </c>
      <c r="H117" s="102" t="s">
        <v>583</v>
      </c>
      <c r="I117" s="102" t="s">
        <v>583</v>
      </c>
    </row>
    <row r="118" spans="1:9" ht="14.45">
      <c r="A118" s="50" t="s">
        <v>702</v>
      </c>
      <c r="B118" s="473"/>
      <c r="C118" s="35" t="s">
        <v>600</v>
      </c>
      <c r="D118" s="35" t="s">
        <v>600</v>
      </c>
      <c r="E118" s="35" t="s">
        <v>601</v>
      </c>
      <c r="F118" s="35" t="s">
        <v>601</v>
      </c>
      <c r="G118" s="35" t="s">
        <v>601</v>
      </c>
      <c r="H118" s="102" t="s">
        <v>583</v>
      </c>
      <c r="I118" s="102" t="s">
        <v>583</v>
      </c>
    </row>
    <row r="119" spans="1:9" ht="14.45">
      <c r="A119" s="50" t="s">
        <v>703</v>
      </c>
      <c r="B119" s="35"/>
      <c r="C119" s="35" t="s">
        <v>704</v>
      </c>
      <c r="D119" s="35"/>
      <c r="E119" s="35"/>
      <c r="F119" s="102" t="s">
        <v>705</v>
      </c>
      <c r="G119" s="102" t="s">
        <v>705</v>
      </c>
      <c r="H119" s="102" t="s">
        <v>583</v>
      </c>
      <c r="I119" s="102" t="s">
        <v>583</v>
      </c>
    </row>
    <row r="120" spans="1:9" ht="14.45">
      <c r="A120" s="50" t="s">
        <v>706</v>
      </c>
      <c r="B120" s="35"/>
      <c r="C120" s="35"/>
      <c r="D120" s="35"/>
      <c r="E120" s="35"/>
      <c r="F120" s="35"/>
      <c r="G120" s="35"/>
      <c r="H120" s="102" t="s">
        <v>583</v>
      </c>
      <c r="I120" s="102" t="s">
        <v>583</v>
      </c>
    </row>
    <row r="121" spans="1:9" ht="14.45">
      <c r="A121" s="50" t="s">
        <v>693</v>
      </c>
      <c r="B121" s="473"/>
      <c r="C121" s="35" t="s">
        <v>600</v>
      </c>
      <c r="D121" s="35" t="s">
        <v>600</v>
      </c>
      <c r="E121" s="35" t="s">
        <v>601</v>
      </c>
      <c r="F121" s="35" t="s">
        <v>601</v>
      </c>
      <c r="G121" s="35" t="s">
        <v>601</v>
      </c>
      <c r="H121" s="102" t="s">
        <v>583</v>
      </c>
      <c r="I121" s="102" t="s">
        <v>583</v>
      </c>
    </row>
    <row r="122" spans="1:9" ht="14.45">
      <c r="A122" s="51" t="s">
        <v>707</v>
      </c>
      <c r="B122" s="352" t="s">
        <v>708</v>
      </c>
      <c r="C122" s="32" t="s">
        <v>709</v>
      </c>
      <c r="D122" s="32" t="s">
        <v>710</v>
      </c>
      <c r="E122" s="32" t="s">
        <v>711</v>
      </c>
      <c r="F122" s="32" t="s">
        <v>601</v>
      </c>
      <c r="G122" s="32" t="s">
        <v>601</v>
      </c>
      <c r="H122" s="102" t="s">
        <v>583</v>
      </c>
      <c r="I122" s="102" t="s">
        <v>583</v>
      </c>
    </row>
    <row r="123" spans="1:9" ht="14.45">
      <c r="A123" s="51" t="s">
        <v>712</v>
      </c>
      <c r="B123" s="32" t="s">
        <v>713</v>
      </c>
      <c r="C123" s="352" t="s">
        <v>714</v>
      </c>
      <c r="D123" s="352" t="s">
        <v>714</v>
      </c>
      <c r="E123" s="32" t="s">
        <v>601</v>
      </c>
      <c r="F123" s="32" t="s">
        <v>601</v>
      </c>
      <c r="G123" s="32" t="s">
        <v>601</v>
      </c>
      <c r="H123" s="102" t="s">
        <v>583</v>
      </c>
      <c r="I123" s="102" t="s">
        <v>583</v>
      </c>
    </row>
    <row r="124" spans="1:9" ht="14.45">
      <c r="A124" s="51" t="s">
        <v>639</v>
      </c>
      <c r="B124" s="32" t="s">
        <v>715</v>
      </c>
      <c r="C124" s="32" t="s">
        <v>715</v>
      </c>
      <c r="D124" s="32" t="s">
        <v>715</v>
      </c>
      <c r="E124" s="32" t="s">
        <v>715</v>
      </c>
      <c r="F124" s="32" t="s">
        <v>715</v>
      </c>
      <c r="G124" s="32" t="s">
        <v>715</v>
      </c>
      <c r="H124" s="102" t="s">
        <v>583</v>
      </c>
      <c r="I124" s="102" t="s">
        <v>583</v>
      </c>
    </row>
    <row r="127" spans="1:9" ht="14.45">
      <c r="A127" s="477" t="s">
        <v>716</v>
      </c>
      <c r="B127" s="478"/>
      <c r="C127" s="478"/>
      <c r="D127" s="478"/>
      <c r="E127" s="478"/>
      <c r="F127" s="478"/>
      <c r="G127" s="478"/>
      <c r="H127" s="478"/>
      <c r="I127" s="478"/>
    </row>
    <row r="128" spans="1:9" ht="14.45">
      <c r="A128" s="49"/>
      <c r="B128" s="276">
        <v>45982</v>
      </c>
      <c r="C128" s="276">
        <v>45983</v>
      </c>
      <c r="D128" s="276">
        <v>45984</v>
      </c>
      <c r="E128" s="276">
        <v>45985</v>
      </c>
      <c r="F128" s="276">
        <v>45986</v>
      </c>
      <c r="G128" s="276">
        <v>45987</v>
      </c>
      <c r="H128" s="276">
        <v>45988</v>
      </c>
      <c r="I128" s="276">
        <v>45989</v>
      </c>
    </row>
    <row r="129" spans="1:9" ht="29.1">
      <c r="A129" s="50" t="s">
        <v>717</v>
      </c>
      <c r="B129" s="42" t="s">
        <v>718</v>
      </c>
      <c r="C129" s="353" t="s">
        <v>719</v>
      </c>
      <c r="D129" s="354" t="s">
        <v>720</v>
      </c>
      <c r="E129" s="35"/>
      <c r="F129" s="35"/>
      <c r="G129" s="35"/>
      <c r="H129" s="102" t="s">
        <v>583</v>
      </c>
      <c r="I129" s="102" t="s">
        <v>583</v>
      </c>
    </row>
    <row r="130" spans="1:9" ht="29.1">
      <c r="A130" s="50" t="s">
        <v>670</v>
      </c>
      <c r="B130" s="42" t="s">
        <v>718</v>
      </c>
      <c r="C130" s="353" t="s">
        <v>719</v>
      </c>
      <c r="D130" s="354" t="s">
        <v>720</v>
      </c>
      <c r="E130" s="35"/>
      <c r="F130" s="35"/>
      <c r="G130" s="35"/>
      <c r="H130" s="102" t="s">
        <v>583</v>
      </c>
      <c r="I130" s="102" t="s">
        <v>583</v>
      </c>
    </row>
    <row r="131" spans="1:9" ht="14.45">
      <c r="A131" s="50" t="s">
        <v>721</v>
      </c>
      <c r="B131" s="35"/>
      <c r="C131" s="35"/>
      <c r="D131" s="35"/>
      <c r="E131" s="35"/>
      <c r="F131" s="35"/>
      <c r="G131" s="35"/>
      <c r="H131" s="102" t="s">
        <v>583</v>
      </c>
      <c r="I131" s="102" t="s">
        <v>583</v>
      </c>
    </row>
    <row r="132" spans="1:9" ht="14.45">
      <c r="A132" s="51" t="s">
        <v>722</v>
      </c>
      <c r="B132" s="32"/>
      <c r="C132" s="32"/>
      <c r="D132" s="32"/>
      <c r="E132" s="32"/>
      <c r="F132" s="32"/>
      <c r="G132" s="32"/>
      <c r="H132" s="102" t="s">
        <v>583</v>
      </c>
      <c r="I132" s="102" t="s">
        <v>583</v>
      </c>
    </row>
    <row r="133" spans="1:9" ht="14.45">
      <c r="A133" s="51" t="s">
        <v>639</v>
      </c>
      <c r="B133" s="32" t="s">
        <v>723</v>
      </c>
      <c r="C133" s="32" t="s">
        <v>723</v>
      </c>
      <c r="D133" s="32"/>
      <c r="E133" s="32"/>
      <c r="F133" s="32"/>
      <c r="G133" s="32"/>
      <c r="H133" s="102" t="s">
        <v>583</v>
      </c>
      <c r="I133" s="102" t="s">
        <v>583</v>
      </c>
    </row>
    <row r="135" spans="1:9" ht="15" customHeight="1" thickBot="1"/>
    <row r="136" spans="1:9" ht="15" customHeight="1" thickBot="1">
      <c r="A136" s="477" t="s">
        <v>271</v>
      </c>
      <c r="B136" s="478"/>
      <c r="C136" s="478"/>
      <c r="D136" s="478"/>
      <c r="E136" s="478"/>
      <c r="F136" s="478"/>
      <c r="G136" s="478"/>
      <c r="H136" s="478"/>
      <c r="I136" s="478"/>
    </row>
    <row r="137" spans="1:9" ht="15" customHeight="1">
      <c r="A137" s="49"/>
      <c r="B137" s="276">
        <v>45982</v>
      </c>
      <c r="C137" s="276">
        <v>45983</v>
      </c>
      <c r="D137" s="276">
        <v>45984</v>
      </c>
      <c r="E137" s="276">
        <v>45985</v>
      </c>
      <c r="F137" s="276">
        <v>45986</v>
      </c>
      <c r="G137" s="276">
        <v>45987</v>
      </c>
      <c r="H137" s="276">
        <v>45988</v>
      </c>
      <c r="I137" s="276">
        <v>45989</v>
      </c>
    </row>
    <row r="138" spans="1:9" ht="15" customHeight="1">
      <c r="A138" s="50" t="s">
        <v>724</v>
      </c>
      <c r="B138" s="42" t="s">
        <v>725</v>
      </c>
      <c r="C138" s="450" t="s">
        <v>726</v>
      </c>
      <c r="D138" s="354"/>
      <c r="E138" s="35" t="s">
        <v>725</v>
      </c>
      <c r="F138" s="42" t="s">
        <v>725</v>
      </c>
      <c r="G138" s="42" t="s">
        <v>725</v>
      </c>
      <c r="H138" s="42" t="s">
        <v>725</v>
      </c>
      <c r="I138" s="42" t="s">
        <v>725</v>
      </c>
    </row>
    <row r="139" spans="1:9" ht="15" customHeight="1">
      <c r="A139" s="50" t="s">
        <v>727</v>
      </c>
      <c r="B139" s="42" t="s">
        <v>725</v>
      </c>
      <c r="C139" s="450"/>
      <c r="D139" s="450" t="s">
        <v>726</v>
      </c>
      <c r="E139" s="35" t="s">
        <v>725</v>
      </c>
      <c r="F139" s="42" t="s">
        <v>725</v>
      </c>
      <c r="G139" s="42" t="s">
        <v>725</v>
      </c>
      <c r="H139" s="42" t="s">
        <v>725</v>
      </c>
      <c r="I139" s="42" t="s">
        <v>725</v>
      </c>
    </row>
    <row r="140" spans="1:9" ht="15" customHeight="1">
      <c r="A140" s="50" t="s">
        <v>728</v>
      </c>
      <c r="B140" s="42" t="s">
        <v>725</v>
      </c>
      <c r="C140" s="450"/>
      <c r="D140" s="35"/>
      <c r="E140" s="450" t="s">
        <v>729</v>
      </c>
      <c r="F140" s="42" t="s">
        <v>725</v>
      </c>
      <c r="G140" s="42" t="s">
        <v>725</v>
      </c>
      <c r="H140" s="42" t="s">
        <v>725</v>
      </c>
      <c r="I140" s="42" t="s">
        <v>725</v>
      </c>
    </row>
    <row r="141" spans="1:9" ht="15" customHeight="1">
      <c r="A141" s="51" t="s">
        <v>730</v>
      </c>
      <c r="B141" s="32"/>
      <c r="C141" s="32" t="s">
        <v>726</v>
      </c>
      <c r="D141" s="32" t="s">
        <v>726</v>
      </c>
      <c r="E141" s="32" t="s">
        <v>726</v>
      </c>
      <c r="F141" s="42" t="s">
        <v>725</v>
      </c>
      <c r="G141" s="42" t="s">
        <v>725</v>
      </c>
      <c r="H141" s="42" t="s">
        <v>725</v>
      </c>
      <c r="I141" s="42" t="s">
        <v>725</v>
      </c>
    </row>
  </sheetData>
  <mergeCells count="14">
    <mergeCell ref="A136:I136"/>
    <mergeCell ref="A127:I127"/>
    <mergeCell ref="A114:I114"/>
    <mergeCell ref="A1:I1"/>
    <mergeCell ref="A2:I2"/>
    <mergeCell ref="A12:I12"/>
    <mergeCell ref="A27:I27"/>
    <mergeCell ref="A33:I33"/>
    <mergeCell ref="A46:I46"/>
    <mergeCell ref="A59:I59"/>
    <mergeCell ref="A92:I92"/>
    <mergeCell ref="A73:I73"/>
    <mergeCell ref="A85:I85"/>
    <mergeCell ref="A105:I105"/>
  </mergeCells>
  <pageMargins left="0.7" right="0.7" top="0.75" bottom="0.75" header="0.3" footer="0.3"/>
  <pageSetup fitToHeight="0" orientation="landscape"/>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19126-AD70-466D-ABD1-EE9F698CB58E}">
  <dimension ref="A1:N35"/>
  <sheetViews>
    <sheetView topLeftCell="A11" zoomScale="85" zoomScaleNormal="85" workbookViewId="0">
      <selection activeCell="C23" sqref="C23:N23"/>
    </sheetView>
  </sheetViews>
  <sheetFormatPr defaultColWidth="20.85546875" defaultRowHeight="14.45"/>
  <cols>
    <col min="1" max="1" width="48.42578125" style="233" bestFit="1" customWidth="1"/>
    <col min="2" max="2" width="8.42578125" style="228" bestFit="1" customWidth="1"/>
    <col min="3" max="3" width="20.7109375" style="228" bestFit="1" customWidth="1"/>
    <col min="4" max="4" width="21.140625" style="228" bestFit="1" customWidth="1"/>
    <col min="5" max="5" width="21.7109375" style="228" bestFit="1" customWidth="1"/>
    <col min="6" max="6" width="22.42578125" style="228" bestFit="1" customWidth="1"/>
    <col min="7" max="7" width="21.5703125" style="228" bestFit="1" customWidth="1"/>
    <col min="8" max="8" width="22.42578125" style="228" bestFit="1" customWidth="1"/>
    <col min="9" max="9" width="21.7109375" style="228" bestFit="1" customWidth="1"/>
    <col min="10" max="10" width="20.7109375" style="228" bestFit="1" customWidth="1"/>
    <col min="11" max="11" width="21.140625" style="228" bestFit="1" customWidth="1"/>
    <col min="12" max="12" width="21.7109375" style="228" bestFit="1" customWidth="1"/>
    <col min="13" max="13" width="22.28515625" style="228" bestFit="1" customWidth="1"/>
    <col min="14" max="14" width="21.42578125" style="228" bestFit="1" customWidth="1"/>
    <col min="15" max="16384" width="20.85546875" style="228"/>
  </cols>
  <sheetData>
    <row r="1" spans="1:14" ht="15.95" customHeight="1" thickBot="1">
      <c r="A1" s="301" t="s">
        <v>580</v>
      </c>
      <c r="B1" s="301"/>
      <c r="C1" s="301"/>
      <c r="D1" s="301"/>
      <c r="E1" s="301"/>
      <c r="F1" s="301"/>
      <c r="G1" s="301"/>
      <c r="H1" s="301"/>
      <c r="I1" s="301"/>
      <c r="J1" s="301"/>
      <c r="K1" s="301"/>
      <c r="L1" s="301"/>
      <c r="M1" s="301"/>
      <c r="N1" s="301"/>
    </row>
    <row r="2" spans="1:14" ht="15" thickBot="1">
      <c r="A2" s="295" t="s">
        <v>581</v>
      </c>
      <c r="B2" s="297"/>
      <c r="C2" s="296"/>
      <c r="D2" s="296"/>
      <c r="E2" s="296"/>
      <c r="F2" s="296"/>
      <c r="G2" s="296"/>
      <c r="H2" s="296"/>
      <c r="I2" s="296"/>
      <c r="J2" s="296"/>
      <c r="K2" s="296"/>
      <c r="L2" s="296"/>
      <c r="M2" s="296"/>
      <c r="N2" s="302"/>
    </row>
    <row r="3" spans="1:14" ht="15" thickBot="1">
      <c r="A3" s="229"/>
      <c r="B3" s="230" t="s">
        <v>731</v>
      </c>
      <c r="C3" s="278">
        <v>45982</v>
      </c>
      <c r="D3" s="278">
        <v>45983</v>
      </c>
      <c r="E3" s="278">
        <v>45984</v>
      </c>
      <c r="F3" s="278">
        <v>45985</v>
      </c>
      <c r="G3" s="278">
        <v>45986</v>
      </c>
      <c r="H3" s="278">
        <v>45987</v>
      </c>
      <c r="I3" s="278">
        <v>45988</v>
      </c>
      <c r="J3" s="278">
        <v>45989</v>
      </c>
      <c r="K3" s="278">
        <v>45990</v>
      </c>
      <c r="L3" s="278">
        <v>45991</v>
      </c>
      <c r="M3" s="278">
        <v>45992</v>
      </c>
      <c r="N3" s="278">
        <v>45993</v>
      </c>
    </row>
    <row r="4" spans="1:14" ht="29.1">
      <c r="A4" s="231" t="s">
        <v>732</v>
      </c>
      <c r="B4" s="232" t="s">
        <v>733</v>
      </c>
      <c r="C4" s="277" t="s">
        <v>734</v>
      </c>
      <c r="D4" s="277" t="s">
        <v>735</v>
      </c>
      <c r="E4" s="357" t="s">
        <v>736</v>
      </c>
      <c r="F4" s="277" t="s">
        <v>737</v>
      </c>
      <c r="G4" s="277" t="s">
        <v>737</v>
      </c>
      <c r="H4" s="277" t="s">
        <v>737</v>
      </c>
      <c r="I4" s="277" t="s">
        <v>737</v>
      </c>
      <c r="J4" s="277" t="s">
        <v>737</v>
      </c>
      <c r="K4" s="277" t="s">
        <v>737</v>
      </c>
      <c r="L4" s="277" t="s">
        <v>737</v>
      </c>
      <c r="M4" s="277" t="s">
        <v>737</v>
      </c>
      <c r="N4" s="277" t="s">
        <v>737</v>
      </c>
    </row>
    <row r="5" spans="1:14" ht="29.1">
      <c r="A5" s="231" t="s">
        <v>738</v>
      </c>
      <c r="B5" s="232" t="s">
        <v>739</v>
      </c>
      <c r="C5" s="232" t="s">
        <v>740</v>
      </c>
      <c r="D5" s="232" t="s">
        <v>599</v>
      </c>
      <c r="E5" s="357" t="s">
        <v>736</v>
      </c>
      <c r="F5" s="232" t="s">
        <v>737</v>
      </c>
      <c r="G5" s="232" t="s">
        <v>737</v>
      </c>
      <c r="H5" s="232" t="s">
        <v>737</v>
      </c>
      <c r="I5" s="232" t="s">
        <v>737</v>
      </c>
      <c r="J5" s="232" t="s">
        <v>737</v>
      </c>
      <c r="K5" s="232" t="s">
        <v>737</v>
      </c>
      <c r="L5" s="232" t="s">
        <v>737</v>
      </c>
      <c r="M5" s="232" t="s">
        <v>599</v>
      </c>
      <c r="N5" s="232" t="s">
        <v>741</v>
      </c>
    </row>
    <row r="6" spans="1:14" ht="29.1">
      <c r="A6" s="231" t="s">
        <v>742</v>
      </c>
      <c r="B6" s="232" t="s">
        <v>739</v>
      </c>
      <c r="C6" s="277" t="s">
        <v>734</v>
      </c>
      <c r="D6" s="232" t="s">
        <v>735</v>
      </c>
      <c r="E6" s="357" t="s">
        <v>736</v>
      </c>
      <c r="F6" s="232" t="s">
        <v>737</v>
      </c>
      <c r="G6" s="232" t="s">
        <v>737</v>
      </c>
      <c r="H6" s="232" t="s">
        <v>737</v>
      </c>
      <c r="I6" s="232" t="s">
        <v>737</v>
      </c>
      <c r="J6" s="232" t="s">
        <v>737</v>
      </c>
      <c r="K6" s="232" t="s">
        <v>737</v>
      </c>
      <c r="L6" s="232" t="s">
        <v>737</v>
      </c>
      <c r="M6" s="232" t="s">
        <v>737</v>
      </c>
      <c r="N6" s="232" t="s">
        <v>737</v>
      </c>
    </row>
    <row r="7" spans="1:14">
      <c r="A7" s="307" t="s">
        <v>743</v>
      </c>
      <c r="B7" s="223"/>
      <c r="C7" s="223"/>
      <c r="D7" s="223"/>
      <c r="E7" s="223"/>
      <c r="F7" s="223"/>
      <c r="G7" s="223"/>
      <c r="H7" s="223"/>
      <c r="I7" s="223"/>
      <c r="J7" s="223"/>
      <c r="K7" s="223"/>
      <c r="L7" s="223"/>
      <c r="M7" s="223"/>
      <c r="N7" s="223"/>
    </row>
    <row r="8" spans="1:14" ht="15" thickBot="1">
      <c r="A8" s="307" t="s">
        <v>744</v>
      </c>
      <c r="B8" s="224"/>
      <c r="C8" s="224"/>
      <c r="D8" s="224"/>
      <c r="E8" s="225"/>
      <c r="F8" s="225"/>
      <c r="G8" s="225"/>
      <c r="H8" s="225"/>
      <c r="I8" s="225"/>
      <c r="J8" s="225"/>
      <c r="K8" s="225"/>
      <c r="L8" s="225"/>
      <c r="M8" s="225"/>
      <c r="N8" s="260"/>
    </row>
    <row r="9" spans="1:14" s="255" customFormat="1" ht="15" thickBot="1">
      <c r="A9" s="226"/>
      <c r="B9" s="221"/>
      <c r="C9" s="221"/>
      <c r="D9" s="221"/>
      <c r="E9" s="221"/>
      <c r="F9" s="221"/>
      <c r="G9" s="221"/>
      <c r="H9" s="221"/>
      <c r="I9" s="221"/>
      <c r="J9" s="221"/>
      <c r="K9" s="221"/>
      <c r="L9" s="221"/>
      <c r="M9" s="227"/>
      <c r="N9" s="222"/>
    </row>
    <row r="10" spans="1:14">
      <c r="A10" s="299" t="s">
        <v>745</v>
      </c>
      <c r="B10" s="296"/>
      <c r="C10" s="297"/>
      <c r="D10" s="297"/>
      <c r="E10" s="297"/>
      <c r="F10" s="297"/>
      <c r="G10" s="297"/>
      <c r="H10" s="297"/>
      <c r="I10" s="297"/>
      <c r="J10" s="297"/>
      <c r="K10" s="297"/>
      <c r="L10" s="297"/>
      <c r="M10" s="300"/>
      <c r="N10" s="298"/>
    </row>
    <row r="11" spans="1:14">
      <c r="A11" s="362"/>
      <c r="B11" s="359" t="s">
        <v>731</v>
      </c>
      <c r="C11" s="278">
        <v>45982</v>
      </c>
      <c r="D11" s="278">
        <v>45983</v>
      </c>
      <c r="E11" s="278">
        <v>45984</v>
      </c>
      <c r="F11" s="278">
        <v>45985</v>
      </c>
      <c r="G11" s="278">
        <v>45986</v>
      </c>
      <c r="H11" s="278">
        <v>45987</v>
      </c>
      <c r="I11" s="278">
        <v>45988</v>
      </c>
      <c r="J11" s="278">
        <v>45989</v>
      </c>
      <c r="K11" s="278">
        <v>45990</v>
      </c>
      <c r="L11" s="278">
        <v>45991</v>
      </c>
      <c r="M11" s="278">
        <v>45992</v>
      </c>
      <c r="N11" s="278">
        <v>45993</v>
      </c>
    </row>
    <row r="12" spans="1:14">
      <c r="A12" s="362" t="s">
        <v>746</v>
      </c>
      <c r="B12" s="360" t="s">
        <v>747</v>
      </c>
      <c r="C12" s="237" t="s">
        <v>740</v>
      </c>
      <c r="D12" s="237" t="s">
        <v>740</v>
      </c>
      <c r="E12" s="236" t="s">
        <v>740</v>
      </c>
      <c r="F12" s="232" t="s">
        <v>599</v>
      </c>
      <c r="G12" s="232" t="s">
        <v>737</v>
      </c>
      <c r="H12" s="232" t="s">
        <v>737</v>
      </c>
      <c r="I12" s="232" t="s">
        <v>737</v>
      </c>
      <c r="J12" s="232" t="s">
        <v>737</v>
      </c>
      <c r="K12" s="238"/>
      <c r="L12" s="236"/>
      <c r="M12" s="236"/>
      <c r="N12" s="238"/>
    </row>
    <row r="13" spans="1:14" ht="29.1">
      <c r="A13" s="257" t="s">
        <v>748</v>
      </c>
      <c r="B13" s="360" t="s">
        <v>747</v>
      </c>
      <c r="C13" s="256" t="s">
        <v>735</v>
      </c>
      <c r="D13" s="256" t="s">
        <v>735</v>
      </c>
      <c r="E13" s="357" t="s">
        <v>736</v>
      </c>
      <c r="F13" s="232" t="s">
        <v>737</v>
      </c>
      <c r="G13" s="232" t="s">
        <v>737</v>
      </c>
      <c r="H13" s="232" t="s">
        <v>737</v>
      </c>
      <c r="I13" s="232" t="s">
        <v>737</v>
      </c>
      <c r="J13" s="232" t="s">
        <v>737</v>
      </c>
      <c r="K13" s="232" t="s">
        <v>737</v>
      </c>
      <c r="L13" s="232" t="s">
        <v>737</v>
      </c>
      <c r="M13" s="232" t="s">
        <v>737</v>
      </c>
      <c r="N13" s="232" t="s">
        <v>749</v>
      </c>
    </row>
    <row r="14" spans="1:14">
      <c r="A14" s="257" t="s">
        <v>750</v>
      </c>
      <c r="B14" s="361" t="s">
        <v>751</v>
      </c>
      <c r="C14" s="241" t="s">
        <v>24</v>
      </c>
      <c r="D14" s="241" t="s">
        <v>599</v>
      </c>
      <c r="E14" s="232" t="s">
        <v>752</v>
      </c>
      <c r="F14" s="232" t="s">
        <v>737</v>
      </c>
      <c r="G14" s="232" t="s">
        <v>737</v>
      </c>
      <c r="H14" s="232" t="s">
        <v>737</v>
      </c>
      <c r="I14" s="232" t="s">
        <v>737</v>
      </c>
      <c r="J14" s="232" t="s">
        <v>737</v>
      </c>
      <c r="K14" s="232" t="s">
        <v>753</v>
      </c>
      <c r="L14" s="240" t="s">
        <v>740</v>
      </c>
      <c r="M14" s="240" t="s">
        <v>740</v>
      </c>
      <c r="N14" s="240" t="s">
        <v>740</v>
      </c>
    </row>
    <row r="15" spans="1:14">
      <c r="A15" s="257" t="s">
        <v>754</v>
      </c>
      <c r="B15" s="361" t="s">
        <v>733</v>
      </c>
      <c r="C15" s="256" t="s">
        <v>735</v>
      </c>
      <c r="D15" s="256" t="s">
        <v>740</v>
      </c>
      <c r="E15" s="232" t="s">
        <v>752</v>
      </c>
      <c r="F15" s="232" t="s">
        <v>737</v>
      </c>
      <c r="G15" s="232" t="s">
        <v>737</v>
      </c>
      <c r="H15" s="232" t="s">
        <v>737</v>
      </c>
      <c r="I15" s="232" t="s">
        <v>737</v>
      </c>
      <c r="J15" s="232" t="s">
        <v>737</v>
      </c>
      <c r="K15" s="232" t="s">
        <v>737</v>
      </c>
      <c r="L15" s="232" t="s">
        <v>737</v>
      </c>
      <c r="M15" s="232" t="s">
        <v>737</v>
      </c>
      <c r="N15" s="232" t="s">
        <v>737</v>
      </c>
    </row>
    <row r="16" spans="1:14">
      <c r="A16" s="257" t="s">
        <v>755</v>
      </c>
      <c r="B16" s="361" t="s">
        <v>751</v>
      </c>
      <c r="C16" s="256" t="s">
        <v>735</v>
      </c>
      <c r="D16" s="256" t="s">
        <v>735</v>
      </c>
      <c r="E16" s="232" t="s">
        <v>752</v>
      </c>
      <c r="F16" s="232" t="s">
        <v>737</v>
      </c>
      <c r="G16" s="232" t="s">
        <v>737</v>
      </c>
      <c r="H16" s="232" t="s">
        <v>737</v>
      </c>
      <c r="I16" s="232" t="s">
        <v>737</v>
      </c>
      <c r="J16" s="232" t="s">
        <v>737</v>
      </c>
      <c r="K16" s="232" t="s">
        <v>737</v>
      </c>
      <c r="L16" s="232" t="s">
        <v>737</v>
      </c>
      <c r="M16" s="232" t="s">
        <v>737</v>
      </c>
      <c r="N16" s="232" t="s">
        <v>737</v>
      </c>
    </row>
    <row r="17" spans="1:14">
      <c r="A17" s="257" t="s">
        <v>756</v>
      </c>
      <c r="B17" s="361" t="s">
        <v>757</v>
      </c>
      <c r="C17" s="316" t="s">
        <v>735</v>
      </c>
      <c r="D17" s="316" t="s">
        <v>735</v>
      </c>
      <c r="E17" s="232" t="s">
        <v>752</v>
      </c>
      <c r="F17" s="317" t="s">
        <v>737</v>
      </c>
      <c r="G17" s="317" t="s">
        <v>737</v>
      </c>
      <c r="H17" s="317" t="s">
        <v>737</v>
      </c>
      <c r="I17" s="317" t="s">
        <v>737</v>
      </c>
      <c r="J17" s="317" t="s">
        <v>737</v>
      </c>
      <c r="K17" s="317" t="s">
        <v>737</v>
      </c>
      <c r="L17" s="317" t="s">
        <v>737</v>
      </c>
      <c r="M17" s="317" t="s">
        <v>737</v>
      </c>
      <c r="N17" s="317" t="s">
        <v>737</v>
      </c>
    </row>
    <row r="18" spans="1:14">
      <c r="A18" s="257" t="s">
        <v>758</v>
      </c>
      <c r="B18" s="361" t="s">
        <v>733</v>
      </c>
      <c r="C18" s="256" t="s">
        <v>735</v>
      </c>
      <c r="D18" s="324" t="s">
        <v>740</v>
      </c>
      <c r="E18" s="232" t="s">
        <v>752</v>
      </c>
      <c r="F18" s="317" t="s">
        <v>737</v>
      </c>
      <c r="G18" s="317" t="s">
        <v>737</v>
      </c>
      <c r="H18" s="317" t="s">
        <v>737</v>
      </c>
      <c r="I18" s="317" t="s">
        <v>737</v>
      </c>
      <c r="J18" s="317" t="s">
        <v>737</v>
      </c>
      <c r="K18" s="316" t="s">
        <v>740</v>
      </c>
      <c r="L18" s="316" t="s">
        <v>740</v>
      </c>
      <c r="M18" s="316" t="s">
        <v>740</v>
      </c>
      <c r="N18" s="325" t="s">
        <v>740</v>
      </c>
    </row>
    <row r="19" spans="1:14">
      <c r="A19" s="257" t="s">
        <v>759</v>
      </c>
      <c r="B19" s="361" t="s">
        <v>751</v>
      </c>
      <c r="C19" s="320" t="s">
        <v>599</v>
      </c>
      <c r="D19" s="320" t="s">
        <v>734</v>
      </c>
      <c r="E19" s="232" t="s">
        <v>752</v>
      </c>
      <c r="F19" s="319" t="s">
        <v>737</v>
      </c>
      <c r="G19" s="319" t="s">
        <v>737</v>
      </c>
      <c r="H19" s="319" t="s">
        <v>737</v>
      </c>
      <c r="I19" s="319" t="s">
        <v>737</v>
      </c>
      <c r="J19" s="319" t="s">
        <v>737</v>
      </c>
      <c r="K19" s="319" t="s">
        <v>599</v>
      </c>
      <c r="L19" s="322" t="s">
        <v>740</v>
      </c>
      <c r="M19" s="322" t="s">
        <v>740</v>
      </c>
      <c r="N19" s="323" t="s">
        <v>740</v>
      </c>
    </row>
    <row r="20" spans="1:14">
      <c r="A20" s="257" t="s">
        <v>760</v>
      </c>
      <c r="B20" s="361" t="s">
        <v>761</v>
      </c>
      <c r="C20" s="318" t="s">
        <v>734</v>
      </c>
      <c r="D20" s="318" t="s">
        <v>734</v>
      </c>
      <c r="E20" s="232" t="s">
        <v>752</v>
      </c>
      <c r="F20" s="277" t="s">
        <v>737</v>
      </c>
      <c r="G20" s="277" t="s">
        <v>737</v>
      </c>
      <c r="H20" s="277" t="s">
        <v>737</v>
      </c>
      <c r="I20" s="277" t="s">
        <v>737</v>
      </c>
      <c r="J20" s="277" t="s">
        <v>599</v>
      </c>
      <c r="K20" s="321" t="s">
        <v>740</v>
      </c>
      <c r="L20" s="321" t="s">
        <v>740</v>
      </c>
      <c r="M20" s="321" t="s">
        <v>740</v>
      </c>
      <c r="N20" s="321" t="s">
        <v>740</v>
      </c>
    </row>
    <row r="21" spans="1:14" s="221" customFormat="1">
      <c r="A21" s="226"/>
      <c r="N21" s="222"/>
    </row>
    <row r="22" spans="1:14" ht="15" thickBot="1">
      <c r="A22" s="295" t="s">
        <v>762</v>
      </c>
      <c r="B22" s="296"/>
      <c r="C22" s="297"/>
      <c r="D22" s="297"/>
      <c r="E22" s="297"/>
      <c r="F22" s="297"/>
      <c r="G22" s="297"/>
      <c r="H22" s="297"/>
      <c r="I22" s="297"/>
      <c r="J22" s="297"/>
      <c r="K22" s="297"/>
      <c r="L22" s="297"/>
      <c r="M22" s="297"/>
      <c r="N22" s="298"/>
    </row>
    <row r="23" spans="1:14" ht="15" thickBot="1">
      <c r="A23" s="235"/>
      <c r="B23" s="259" t="s">
        <v>731</v>
      </c>
      <c r="C23" s="278">
        <v>45982</v>
      </c>
      <c r="D23" s="278">
        <v>45983</v>
      </c>
      <c r="E23" s="278">
        <v>45984</v>
      </c>
      <c r="F23" s="278">
        <v>45985</v>
      </c>
      <c r="G23" s="278">
        <v>45986</v>
      </c>
      <c r="H23" s="278">
        <v>45987</v>
      </c>
      <c r="I23" s="278">
        <v>45988</v>
      </c>
      <c r="J23" s="278">
        <v>45989</v>
      </c>
      <c r="K23" s="278">
        <v>45990</v>
      </c>
      <c r="L23" s="278">
        <v>45991</v>
      </c>
      <c r="M23" s="278">
        <v>45992</v>
      </c>
      <c r="N23" s="278">
        <v>45993</v>
      </c>
    </row>
    <row r="24" spans="1:14" ht="15" thickBot="1">
      <c r="A24" s="253" t="s">
        <v>763</v>
      </c>
      <c r="B24" s="258" t="s">
        <v>764</v>
      </c>
      <c r="C24" s="268" t="s">
        <v>765</v>
      </c>
      <c r="D24" s="272" t="s">
        <v>24</v>
      </c>
      <c r="E24" s="268" t="s">
        <v>765</v>
      </c>
      <c r="F24" s="268" t="s">
        <v>765</v>
      </c>
      <c r="G24" s="268" t="s">
        <v>765</v>
      </c>
      <c r="H24" s="268" t="s">
        <v>765</v>
      </c>
      <c r="I24" s="268" t="s">
        <v>765</v>
      </c>
      <c r="J24" s="268" t="s">
        <v>765</v>
      </c>
      <c r="K24" s="268" t="s">
        <v>766</v>
      </c>
      <c r="L24" s="268" t="s">
        <v>765</v>
      </c>
      <c r="M24" s="268" t="s">
        <v>765</v>
      </c>
      <c r="N24" s="268" t="s">
        <v>765</v>
      </c>
    </row>
    <row r="25" spans="1:14" ht="15" thickBot="1">
      <c r="A25" s="253" t="s">
        <v>767</v>
      </c>
      <c r="B25" s="239" t="s">
        <v>764</v>
      </c>
      <c r="C25" s="268" t="s">
        <v>765</v>
      </c>
      <c r="D25" s="309" t="s">
        <v>24</v>
      </c>
      <c r="E25" s="268" t="s">
        <v>765</v>
      </c>
      <c r="F25" s="268" t="s">
        <v>765</v>
      </c>
      <c r="G25" s="268" t="s">
        <v>765</v>
      </c>
      <c r="H25" s="268" t="s">
        <v>765</v>
      </c>
      <c r="I25" s="268" t="s">
        <v>765</v>
      </c>
      <c r="J25" s="268" t="s">
        <v>765</v>
      </c>
      <c r="K25" s="268" t="s">
        <v>766</v>
      </c>
      <c r="L25" s="268" t="s">
        <v>765</v>
      </c>
      <c r="M25" s="268" t="s">
        <v>765</v>
      </c>
      <c r="N25" s="268" t="s">
        <v>765</v>
      </c>
    </row>
    <row r="26" spans="1:14" ht="15" thickBot="1">
      <c r="A26" s="253" t="s">
        <v>768</v>
      </c>
      <c r="B26" s="239" t="s">
        <v>751</v>
      </c>
      <c r="C26" s="268" t="s">
        <v>765</v>
      </c>
      <c r="D26" s="309" t="s">
        <v>24</v>
      </c>
      <c r="E26" s="268" t="s">
        <v>765</v>
      </c>
      <c r="F26" s="268" t="s">
        <v>765</v>
      </c>
      <c r="G26" s="268" t="s">
        <v>765</v>
      </c>
      <c r="H26" s="268" t="s">
        <v>765</v>
      </c>
      <c r="I26" s="268" t="s">
        <v>765</v>
      </c>
      <c r="J26" s="268" t="s">
        <v>765</v>
      </c>
      <c r="K26" s="268" t="s">
        <v>766</v>
      </c>
      <c r="L26" s="268" t="s">
        <v>765</v>
      </c>
      <c r="M26" s="268" t="s">
        <v>765</v>
      </c>
      <c r="N26" s="268" t="s">
        <v>765</v>
      </c>
    </row>
    <row r="27" spans="1:14" ht="15" thickBot="1">
      <c r="A27" s="253" t="s">
        <v>769</v>
      </c>
      <c r="B27" s="240" t="s">
        <v>757</v>
      </c>
      <c r="C27" s="268" t="s">
        <v>765</v>
      </c>
      <c r="D27" s="309" t="s">
        <v>24</v>
      </c>
      <c r="E27" s="268" t="s">
        <v>765</v>
      </c>
      <c r="F27" s="268" t="s">
        <v>765</v>
      </c>
      <c r="G27" s="268" t="s">
        <v>765</v>
      </c>
      <c r="H27" s="268" t="s">
        <v>765</v>
      </c>
      <c r="I27" s="268" t="s">
        <v>765</v>
      </c>
      <c r="J27" s="268" t="s">
        <v>765</v>
      </c>
      <c r="K27" s="268" t="s">
        <v>766</v>
      </c>
      <c r="L27" s="268" t="s">
        <v>765</v>
      </c>
      <c r="M27" s="268" t="s">
        <v>765</v>
      </c>
      <c r="N27" s="268" t="s">
        <v>765</v>
      </c>
    </row>
    <row r="28" spans="1:14" ht="15" thickBot="1">
      <c r="A28" s="253" t="s">
        <v>770</v>
      </c>
      <c r="B28" s="239" t="s">
        <v>1</v>
      </c>
      <c r="C28" s="268" t="s">
        <v>765</v>
      </c>
      <c r="D28" s="309" t="s">
        <v>24</v>
      </c>
      <c r="E28" s="268" t="s">
        <v>765</v>
      </c>
      <c r="F28" s="268" t="s">
        <v>765</v>
      </c>
      <c r="G28" s="268" t="s">
        <v>765</v>
      </c>
      <c r="H28" s="268" t="s">
        <v>765</v>
      </c>
      <c r="I28" s="268" t="s">
        <v>765</v>
      </c>
      <c r="J28" s="268" t="s">
        <v>765</v>
      </c>
      <c r="K28" s="268" t="s">
        <v>766</v>
      </c>
      <c r="L28" s="268" t="s">
        <v>765</v>
      </c>
      <c r="M28" s="268" t="s">
        <v>765</v>
      </c>
      <c r="N28" s="268" t="s">
        <v>765</v>
      </c>
    </row>
    <row r="29" spans="1:14" ht="15" thickBot="1">
      <c r="A29" s="233" t="s">
        <v>771</v>
      </c>
      <c r="B29" s="240" t="s">
        <v>1</v>
      </c>
      <c r="C29" s="268" t="s">
        <v>765</v>
      </c>
      <c r="D29" s="309" t="s">
        <v>24</v>
      </c>
      <c r="E29" s="268" t="s">
        <v>765</v>
      </c>
      <c r="F29" s="268" t="s">
        <v>765</v>
      </c>
      <c r="G29" s="268" t="s">
        <v>765</v>
      </c>
      <c r="H29" s="268" t="s">
        <v>765</v>
      </c>
      <c r="I29" s="268" t="s">
        <v>765</v>
      </c>
      <c r="J29" s="268" t="s">
        <v>765</v>
      </c>
      <c r="K29" s="268" t="s">
        <v>766</v>
      </c>
      <c r="L29" s="268" t="s">
        <v>765</v>
      </c>
      <c r="M29" s="268" t="s">
        <v>765</v>
      </c>
      <c r="N29" s="268" t="s">
        <v>765</v>
      </c>
    </row>
    <row r="30" spans="1:14" ht="15" thickBot="1">
      <c r="A30" s="253" t="s">
        <v>772</v>
      </c>
      <c r="B30" s="239" t="s">
        <v>764</v>
      </c>
      <c r="C30" s="268" t="s">
        <v>773</v>
      </c>
      <c r="D30" s="309" t="s">
        <v>24</v>
      </c>
      <c r="E30" s="268" t="s">
        <v>24</v>
      </c>
      <c r="F30" s="268" t="s">
        <v>773</v>
      </c>
      <c r="G30" s="268" t="s">
        <v>773</v>
      </c>
      <c r="H30" s="268" t="s">
        <v>773</v>
      </c>
      <c r="I30" s="268" t="s">
        <v>773</v>
      </c>
      <c r="J30" s="268" t="s">
        <v>773</v>
      </c>
      <c r="K30" s="268" t="s">
        <v>766</v>
      </c>
      <c r="L30" s="268" t="s">
        <v>773</v>
      </c>
      <c r="M30" s="268" t="s">
        <v>773</v>
      </c>
      <c r="N30" s="268" t="s">
        <v>773</v>
      </c>
    </row>
    <row r="31" spans="1:14" ht="15" thickBot="1">
      <c r="A31" s="253" t="s">
        <v>774</v>
      </c>
      <c r="B31" s="241" t="s">
        <v>775</v>
      </c>
      <c r="C31" s="268" t="s">
        <v>765</v>
      </c>
      <c r="D31" s="309" t="s">
        <v>24</v>
      </c>
      <c r="E31" s="268" t="s">
        <v>765</v>
      </c>
      <c r="F31" s="268" t="s">
        <v>765</v>
      </c>
      <c r="G31" s="268" t="s">
        <v>765</v>
      </c>
      <c r="H31" s="268" t="s">
        <v>765</v>
      </c>
      <c r="I31" s="268" t="s">
        <v>765</v>
      </c>
      <c r="J31" s="268" t="s">
        <v>765</v>
      </c>
      <c r="K31" s="268" t="s">
        <v>766</v>
      </c>
      <c r="L31" s="268" t="s">
        <v>765</v>
      </c>
      <c r="M31" s="268" t="s">
        <v>765</v>
      </c>
      <c r="N31" s="268" t="s">
        <v>765</v>
      </c>
    </row>
    <row r="32" spans="1:14">
      <c r="A32" s="235"/>
      <c r="B32" s="239"/>
      <c r="C32" s="269"/>
      <c r="D32" s="269"/>
      <c r="E32" s="270"/>
      <c r="F32" s="270"/>
      <c r="G32" s="271"/>
      <c r="H32" s="272"/>
      <c r="I32" s="273"/>
      <c r="J32" s="273"/>
      <c r="K32" s="273"/>
      <c r="L32" s="270"/>
      <c r="M32" s="270"/>
      <c r="N32" s="273"/>
    </row>
    <row r="33" spans="1:14" ht="15" thickBot="1">
      <c r="A33" s="242"/>
      <c r="B33" s="243"/>
      <c r="C33" s="243"/>
      <c r="D33" s="243"/>
      <c r="E33" s="244"/>
      <c r="F33" s="244"/>
      <c r="G33" s="245"/>
      <c r="H33" s="245"/>
      <c r="I33" s="246"/>
      <c r="J33" s="246"/>
      <c r="K33" s="246"/>
      <c r="L33" s="244"/>
      <c r="M33" s="244"/>
      <c r="N33" s="246"/>
    </row>
    <row r="34" spans="1:14">
      <c r="A34" s="235"/>
      <c r="B34" s="247"/>
      <c r="C34" s="247"/>
      <c r="D34" s="247"/>
      <c r="E34" s="248"/>
      <c r="F34" s="248"/>
      <c r="G34" s="248"/>
      <c r="H34" s="248"/>
      <c r="I34" s="249"/>
      <c r="J34" s="249"/>
      <c r="K34" s="249"/>
      <c r="L34" s="248"/>
      <c r="M34" s="248"/>
      <c r="N34" s="249"/>
    </row>
    <row r="35" spans="1:14" ht="15" thickBot="1">
      <c r="A35" s="253"/>
      <c r="B35" s="261"/>
      <c r="C35" s="250"/>
      <c r="D35" s="250"/>
      <c r="E35" s="251"/>
      <c r="F35" s="251"/>
      <c r="G35" s="251"/>
      <c r="H35" s="251"/>
      <c r="I35" s="252"/>
      <c r="J35" s="252"/>
      <c r="K35" s="252"/>
      <c r="L35" s="251"/>
      <c r="M35" s="251"/>
      <c r="N35" s="25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43545-AC4B-454B-9DD2-D9081F6E833F}">
  <dimension ref="A1:J19"/>
  <sheetViews>
    <sheetView workbookViewId="0">
      <selection activeCell="A25" sqref="A25"/>
    </sheetView>
  </sheetViews>
  <sheetFormatPr defaultRowHeight="14.45"/>
  <cols>
    <col min="1" max="1" width="39" customWidth="1"/>
    <col min="2" max="2" width="17.28515625" bestFit="1" customWidth="1"/>
    <col min="3" max="3" width="19" customWidth="1"/>
    <col min="4" max="4" width="18.5703125" customWidth="1"/>
    <col min="5" max="5" width="17.85546875" customWidth="1"/>
    <col min="6" max="6" width="17.7109375" customWidth="1"/>
    <col min="7" max="7" width="18" customWidth="1"/>
    <col min="8" max="8" width="15.5703125" customWidth="1"/>
    <col min="9" max="10" width="18" customWidth="1"/>
  </cols>
  <sheetData>
    <row r="1" spans="1:10" ht="15.95" thickBot="1">
      <c r="A1" s="301" t="s">
        <v>776</v>
      </c>
      <c r="B1" s="301"/>
      <c r="C1" s="301"/>
      <c r="D1" s="301"/>
      <c r="E1" s="301"/>
      <c r="F1" s="301"/>
      <c r="G1" s="301"/>
      <c r="H1" s="301"/>
      <c r="I1" s="301"/>
      <c r="J1" s="301"/>
    </row>
    <row r="2" spans="1:10" ht="15" thickBot="1">
      <c r="A2" s="295" t="s">
        <v>777</v>
      </c>
      <c r="B2" s="297"/>
      <c r="C2" s="296"/>
      <c r="D2" s="296"/>
      <c r="E2" s="296"/>
      <c r="F2" s="296"/>
      <c r="G2" s="296"/>
      <c r="H2" s="296"/>
      <c r="I2" s="296"/>
      <c r="J2" s="296"/>
    </row>
    <row r="3" spans="1:10" ht="15" thickBot="1">
      <c r="A3" s="229"/>
      <c r="B3" s="230" t="s">
        <v>778</v>
      </c>
      <c r="C3" s="278">
        <v>45851</v>
      </c>
      <c r="D3" s="278">
        <v>45852</v>
      </c>
      <c r="E3" s="278">
        <v>45853</v>
      </c>
      <c r="F3" s="278">
        <v>45854</v>
      </c>
      <c r="G3" s="278">
        <v>45855</v>
      </c>
      <c r="H3" s="278">
        <v>45856</v>
      </c>
      <c r="I3" s="278">
        <v>45857</v>
      </c>
      <c r="J3" s="278">
        <v>45858</v>
      </c>
    </row>
    <row r="4" spans="1:10" ht="15" thickBot="1">
      <c r="A4" s="231" t="s">
        <v>779</v>
      </c>
      <c r="B4" s="232" t="s">
        <v>780</v>
      </c>
      <c r="C4" s="277" t="s">
        <v>72</v>
      </c>
      <c r="D4" s="277" t="s">
        <v>737</v>
      </c>
      <c r="E4" s="277" t="s">
        <v>737</v>
      </c>
      <c r="F4" s="277" t="s">
        <v>737</v>
      </c>
      <c r="G4" s="277" t="s">
        <v>737</v>
      </c>
      <c r="H4" s="277" t="s">
        <v>737</v>
      </c>
      <c r="I4" s="277" t="s">
        <v>72</v>
      </c>
      <c r="J4" s="277" t="s">
        <v>72</v>
      </c>
    </row>
    <row r="5" spans="1:10">
      <c r="A5" s="231" t="s">
        <v>781</v>
      </c>
      <c r="B5" s="232" t="s">
        <v>782</v>
      </c>
      <c r="C5" s="277" t="s">
        <v>72</v>
      </c>
      <c r="D5" s="232" t="s">
        <v>737</v>
      </c>
      <c r="E5" s="232" t="s">
        <v>737</v>
      </c>
      <c r="F5" s="232" t="s">
        <v>737</v>
      </c>
      <c r="G5" s="232" t="s">
        <v>737</v>
      </c>
      <c r="H5" s="232" t="s">
        <v>737</v>
      </c>
      <c r="I5" s="277" t="s">
        <v>72</v>
      </c>
      <c r="J5" s="277" t="s">
        <v>72</v>
      </c>
    </row>
    <row r="6" spans="1:10" ht="15" thickBot="1">
      <c r="A6" s="226"/>
      <c r="B6" s="221"/>
      <c r="C6" s="221"/>
      <c r="D6" s="221"/>
      <c r="E6" s="221"/>
      <c r="F6" s="221"/>
      <c r="G6" s="221"/>
      <c r="H6" s="221"/>
      <c r="I6" s="221"/>
      <c r="J6" s="221"/>
    </row>
    <row r="7" spans="1:10" ht="15" thickBot="1">
      <c r="A7" s="299" t="s">
        <v>745</v>
      </c>
      <c r="B7" s="296"/>
      <c r="C7" s="297"/>
      <c r="D7" s="297"/>
      <c r="E7" s="297"/>
      <c r="F7" s="297"/>
      <c r="G7" s="297"/>
      <c r="H7" s="297"/>
      <c r="I7" s="297"/>
      <c r="J7" s="297"/>
    </row>
    <row r="8" spans="1:10">
      <c r="A8" s="311"/>
      <c r="B8" s="234" t="s">
        <v>778</v>
      </c>
      <c r="C8" s="312">
        <v>45851</v>
      </c>
      <c r="D8" s="312">
        <v>45852</v>
      </c>
      <c r="E8" s="312">
        <v>45853</v>
      </c>
      <c r="F8" s="312">
        <v>45854</v>
      </c>
      <c r="G8" s="312">
        <v>45855</v>
      </c>
      <c r="H8" s="312">
        <v>45856</v>
      </c>
      <c r="I8" s="312">
        <v>45857</v>
      </c>
      <c r="J8" s="312">
        <v>45858</v>
      </c>
    </row>
    <row r="9" spans="1:10">
      <c r="A9" s="253" t="s">
        <v>783</v>
      </c>
      <c r="B9" s="240" t="s">
        <v>784</v>
      </c>
      <c r="C9" s="277" t="s">
        <v>72</v>
      </c>
      <c r="D9" s="240" t="s">
        <v>737</v>
      </c>
      <c r="E9" s="240" t="s">
        <v>737</v>
      </c>
      <c r="F9" s="240" t="s">
        <v>737</v>
      </c>
      <c r="G9" s="240" t="s">
        <v>737</v>
      </c>
      <c r="H9" s="240" t="s">
        <v>737</v>
      </c>
      <c r="I9" s="277" t="s">
        <v>72</v>
      </c>
      <c r="J9" s="277" t="s">
        <v>72</v>
      </c>
    </row>
    <row r="10" spans="1:10">
      <c r="A10" s="254" t="s">
        <v>785</v>
      </c>
      <c r="B10" s="240" t="s">
        <v>784</v>
      </c>
      <c r="C10" s="277" t="s">
        <v>72</v>
      </c>
      <c r="D10" s="240" t="s">
        <v>737</v>
      </c>
      <c r="E10" s="240" t="s">
        <v>737</v>
      </c>
      <c r="F10" s="240" t="s">
        <v>737</v>
      </c>
      <c r="G10" s="240" t="s">
        <v>737</v>
      </c>
      <c r="H10" s="240" t="s">
        <v>737</v>
      </c>
      <c r="I10" s="277" t="s">
        <v>72</v>
      </c>
      <c r="J10" s="277" t="s">
        <v>72</v>
      </c>
    </row>
    <row r="11" spans="1:10">
      <c r="A11" s="254" t="s">
        <v>786</v>
      </c>
      <c r="B11" s="240" t="s">
        <v>784</v>
      </c>
      <c r="C11" s="277" t="s">
        <v>72</v>
      </c>
      <c r="D11" s="240" t="s">
        <v>737</v>
      </c>
      <c r="E11" s="240" t="s">
        <v>737</v>
      </c>
      <c r="F11" s="240" t="s">
        <v>737</v>
      </c>
      <c r="G11" s="240" t="s">
        <v>737</v>
      </c>
      <c r="H11" s="240" t="s">
        <v>737</v>
      </c>
      <c r="I11" s="277" t="s">
        <v>72</v>
      </c>
      <c r="J11" s="277" t="s">
        <v>72</v>
      </c>
    </row>
    <row r="12" spans="1:10">
      <c r="A12" s="67" t="s">
        <v>787</v>
      </c>
      <c r="B12" s="240" t="s">
        <v>788</v>
      </c>
      <c r="C12" s="240" t="s">
        <v>24</v>
      </c>
      <c r="D12" s="240" t="s">
        <v>737</v>
      </c>
      <c r="E12" s="240" t="s">
        <v>737</v>
      </c>
      <c r="F12" s="240" t="s">
        <v>737</v>
      </c>
      <c r="G12" s="240" t="s">
        <v>737</v>
      </c>
      <c r="H12" s="240" t="s">
        <v>737</v>
      </c>
      <c r="I12" s="277" t="s">
        <v>72</v>
      </c>
      <c r="J12" s="277" t="s">
        <v>72</v>
      </c>
    </row>
    <row r="13" spans="1:10">
      <c r="A13" s="67" t="s">
        <v>789</v>
      </c>
      <c r="B13" s="240" t="s">
        <v>790</v>
      </c>
      <c r="C13" s="240" t="s">
        <v>24</v>
      </c>
      <c r="D13" s="240" t="s">
        <v>737</v>
      </c>
      <c r="E13" s="240" t="s">
        <v>737</v>
      </c>
      <c r="F13" s="240" t="s">
        <v>737</v>
      </c>
      <c r="G13" s="240" t="s">
        <v>737</v>
      </c>
      <c r="H13" s="240" t="s">
        <v>737</v>
      </c>
      <c r="I13" s="277" t="s">
        <v>72</v>
      </c>
      <c r="J13" s="277" t="s">
        <v>72</v>
      </c>
    </row>
    <row r="14" spans="1:10">
      <c r="A14" s="67" t="s">
        <v>791</v>
      </c>
      <c r="B14" s="240" t="s">
        <v>792</v>
      </c>
      <c r="C14" s="240"/>
      <c r="D14" s="240"/>
      <c r="E14" s="240"/>
      <c r="F14" s="240"/>
      <c r="G14" s="240"/>
      <c r="H14" s="240"/>
      <c r="I14" s="240"/>
      <c r="J14" s="240"/>
    </row>
    <row r="15" spans="1:10">
      <c r="A15" s="67" t="s">
        <v>793</v>
      </c>
      <c r="B15" s="240" t="s">
        <v>792</v>
      </c>
      <c r="C15" s="240"/>
      <c r="D15" s="240"/>
      <c r="E15" s="240"/>
      <c r="F15" s="240"/>
      <c r="G15" s="240"/>
      <c r="H15" s="240"/>
      <c r="I15" s="240"/>
      <c r="J15" s="240"/>
    </row>
    <row r="16" spans="1:10">
      <c r="A16" s="67"/>
      <c r="B16" s="240"/>
      <c r="C16" s="240"/>
      <c r="D16" s="240"/>
      <c r="E16" s="240"/>
      <c r="F16" s="240"/>
      <c r="G16" s="240"/>
      <c r="H16" s="240"/>
      <c r="I16" s="240"/>
      <c r="J16" s="240"/>
    </row>
    <row r="17" spans="1:10" ht="15" thickBot="1">
      <c r="A17" s="314" t="s">
        <v>794</v>
      </c>
      <c r="B17" s="300"/>
      <c r="C17" s="315"/>
      <c r="D17" s="315"/>
      <c r="E17" s="315"/>
      <c r="F17" s="315"/>
      <c r="G17" s="315"/>
      <c r="H17" s="315"/>
      <c r="I17" s="315"/>
      <c r="J17" s="315"/>
    </row>
    <row r="18" spans="1:10" ht="15" thickBot="1">
      <c r="A18" s="313" t="s">
        <v>795</v>
      </c>
    </row>
    <row r="19" spans="1:10">
      <c r="A19" s="120" t="s">
        <v>796</v>
      </c>
    </row>
  </sheetData>
  <hyperlinks>
    <hyperlink ref="A18" r:id="rId1" display="Fed ISO Artifacts &amp; Triage Resources" xr:uid="{73B494A9-E870-43FE-92E5-0C2C058C2055}"/>
    <hyperlink ref="A19" r:id="rId2" xr:uid="{28E24A22-128A-4ACF-A869-D646F8F8A69F}"/>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3E04F-CFBA-4586-AE89-B676B81AFACF}">
  <dimension ref="A1:C4"/>
  <sheetViews>
    <sheetView topLeftCell="B1" workbookViewId="0">
      <selection activeCell="C12" sqref="C12"/>
    </sheetView>
  </sheetViews>
  <sheetFormatPr defaultRowHeight="14.45"/>
  <cols>
    <col min="1" max="1" width="20.28515625" customWidth="1"/>
    <col min="2" max="2" width="32.28515625" customWidth="1"/>
    <col min="3" max="3" width="45" customWidth="1"/>
  </cols>
  <sheetData>
    <row r="1" spans="1:3" s="201" customFormat="1">
      <c r="A1" s="201" t="s">
        <v>797</v>
      </c>
      <c r="B1" s="201" t="s">
        <v>798</v>
      </c>
      <c r="C1" s="201" t="s">
        <v>799</v>
      </c>
    </row>
    <row r="2" spans="1:3">
      <c r="A2" t="s">
        <v>800</v>
      </c>
      <c r="B2" t="s">
        <v>801</v>
      </c>
      <c r="C2" s="6" t="s">
        <v>802</v>
      </c>
    </row>
    <row r="3" spans="1:3">
      <c r="A3" t="s">
        <v>803</v>
      </c>
      <c r="B3" t="s">
        <v>804</v>
      </c>
      <c r="C3" t="s">
        <v>805</v>
      </c>
    </row>
    <row r="4" spans="1:3">
      <c r="A4" t="s">
        <v>806</v>
      </c>
      <c r="B4" t="s">
        <v>807</v>
      </c>
      <c r="C4" t="s">
        <v>808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8D073-991A-4445-B937-A54636A1817B}">
  <dimension ref="B1:H66"/>
  <sheetViews>
    <sheetView topLeftCell="G30" zoomScale="60" zoomScaleNormal="60" workbookViewId="0">
      <selection activeCell="G60" sqref="G60"/>
    </sheetView>
  </sheetViews>
  <sheetFormatPr defaultRowHeight="14.45"/>
  <cols>
    <col min="1" max="1" width="4.42578125" customWidth="1"/>
    <col min="2" max="2" width="44.85546875" customWidth="1"/>
    <col min="3" max="3" width="14.42578125" customWidth="1"/>
    <col min="4" max="4" width="44.85546875" customWidth="1"/>
    <col min="5" max="5" width="18.5703125" bestFit="1" customWidth="1"/>
    <col min="6" max="6" width="20.5703125" customWidth="1"/>
    <col min="7" max="7" width="71.7109375" customWidth="1"/>
    <col min="8" max="8" width="42.28515625" bestFit="1" customWidth="1"/>
  </cols>
  <sheetData>
    <row r="1" spans="2:2">
      <c r="B1" s="482" t="s">
        <v>809</v>
      </c>
    </row>
    <row r="2" spans="2:2">
      <c r="B2" s="482"/>
    </row>
    <row r="3" spans="2:2" ht="33.950000000000003">
      <c r="B3" s="113" t="s">
        <v>810</v>
      </c>
    </row>
    <row r="4" spans="2:2">
      <c r="B4" s="114"/>
    </row>
    <row r="5" spans="2:2" ht="17.100000000000001">
      <c r="B5" s="113" t="s">
        <v>811</v>
      </c>
    </row>
    <row r="6" spans="2:2">
      <c r="B6" s="114" t="s">
        <v>812</v>
      </c>
    </row>
    <row r="7" spans="2:2" ht="29.1">
      <c r="B7" s="115" t="s">
        <v>813</v>
      </c>
    </row>
    <row r="8" spans="2:2">
      <c r="B8" s="114" t="s">
        <v>814</v>
      </c>
    </row>
    <row r="9" spans="2:2">
      <c r="B9" s="115" t="s">
        <v>815</v>
      </c>
    </row>
    <row r="10" spans="2:2">
      <c r="B10" s="115" t="s">
        <v>816</v>
      </c>
    </row>
    <row r="15" spans="2:2">
      <c r="B15" s="6"/>
    </row>
    <row r="16" spans="2:2">
      <c r="B16" s="6"/>
    </row>
    <row r="17" spans="2:8" ht="362.45">
      <c r="B17" s="6" t="s">
        <v>817</v>
      </c>
    </row>
    <row r="18" spans="2:8" ht="15" customHeight="1">
      <c r="B18" s="482" t="s">
        <v>818</v>
      </c>
      <c r="C18" s="482"/>
      <c r="D18" s="482"/>
      <c r="E18" s="482"/>
      <c r="F18" s="482"/>
      <c r="G18" s="482"/>
    </row>
    <row r="19" spans="2:8" ht="15" customHeight="1">
      <c r="B19" s="482"/>
      <c r="C19" s="482"/>
      <c r="D19" s="482"/>
      <c r="E19" s="482"/>
      <c r="F19" s="482"/>
      <c r="G19" s="482"/>
    </row>
    <row r="20" spans="2:8" ht="15" thickBot="1">
      <c r="B20" s="116" t="s">
        <v>819</v>
      </c>
      <c r="C20" s="116" t="s">
        <v>363</v>
      </c>
      <c r="D20" s="116" t="s">
        <v>820</v>
      </c>
      <c r="E20" s="116" t="s">
        <v>821</v>
      </c>
      <c r="F20" s="116" t="s">
        <v>822</v>
      </c>
      <c r="G20" s="117" t="s">
        <v>368</v>
      </c>
    </row>
    <row r="21" spans="2:8" ht="84.6" customHeight="1" thickBot="1">
      <c r="B21" s="118"/>
      <c r="C21" s="137"/>
      <c r="D21" s="136"/>
      <c r="E21" s="136"/>
      <c r="F21" s="136"/>
      <c r="G21" s="134"/>
    </row>
    <row r="22" spans="2:8" ht="15" thickBot="1">
      <c r="B22" s="118"/>
      <c r="C22" s="137"/>
      <c r="D22" s="136"/>
      <c r="E22" s="136"/>
      <c r="F22" s="136"/>
      <c r="G22" s="134"/>
    </row>
    <row r="23" spans="2:8" ht="15" thickBot="1">
      <c r="B23" s="118"/>
      <c r="C23" s="137"/>
      <c r="D23" s="136"/>
      <c r="E23" s="136"/>
      <c r="F23" s="136"/>
      <c r="G23" s="134"/>
    </row>
    <row r="24" spans="2:8" ht="15" thickBot="1">
      <c r="B24" s="118"/>
      <c r="C24" s="137"/>
      <c r="D24" s="136"/>
      <c r="E24" s="136"/>
      <c r="F24" s="136"/>
      <c r="G24" s="46"/>
    </row>
    <row r="25" spans="2:8" ht="15" thickBot="1">
      <c r="B25" s="118"/>
      <c r="C25" s="137"/>
      <c r="D25" s="136"/>
      <c r="E25" s="136"/>
      <c r="F25" s="136"/>
      <c r="G25" s="134"/>
    </row>
    <row r="26" spans="2:8" ht="15" thickBot="1">
      <c r="B26" s="118"/>
      <c r="C26" s="137"/>
      <c r="D26" s="136"/>
      <c r="E26" s="136"/>
      <c r="F26" s="136"/>
      <c r="G26" s="134"/>
    </row>
    <row r="27" spans="2:8" ht="15" thickBot="1">
      <c r="B27" s="118"/>
      <c r="C27" s="137"/>
      <c r="D27" s="136"/>
      <c r="E27" s="136"/>
      <c r="F27" s="136"/>
      <c r="G27" s="134"/>
    </row>
    <row r="28" spans="2:8" ht="15" thickBot="1">
      <c r="B28" s="118"/>
      <c r="C28" s="137"/>
      <c r="D28" s="136"/>
      <c r="E28" s="136"/>
      <c r="F28" s="136"/>
      <c r="G28" s="134"/>
    </row>
    <row r="29" spans="2:8" ht="330.75" customHeight="1" thickBot="1">
      <c r="B29" s="119"/>
      <c r="C29" s="151"/>
      <c r="D29" s="133"/>
      <c r="E29" s="133"/>
      <c r="F29" s="133"/>
      <c r="G29" s="135"/>
    </row>
    <row r="30" spans="2:8" ht="51" customHeight="1" thickBot="1">
      <c r="B30" s="132"/>
      <c r="C30" s="152"/>
      <c r="D30" s="153"/>
      <c r="E30" s="153"/>
      <c r="F30" s="153"/>
      <c r="G30" s="154"/>
    </row>
    <row r="32" spans="2:8" ht="14.45" customHeight="1">
      <c r="B32" s="483" t="s">
        <v>823</v>
      </c>
      <c r="C32" s="483"/>
      <c r="D32" s="483"/>
      <c r="E32" s="483"/>
      <c r="F32" s="483"/>
      <c r="H32" s="482"/>
    </row>
    <row r="33" spans="2:8" ht="15" customHeight="1">
      <c r="B33" s="483"/>
      <c r="C33" s="483"/>
      <c r="D33" s="483"/>
      <c r="E33" s="483"/>
      <c r="F33" s="483"/>
      <c r="H33" s="482"/>
    </row>
    <row r="34" spans="2:8">
      <c r="B34" s="330" t="s">
        <v>824</v>
      </c>
      <c r="C34" s="331" t="s">
        <v>825</v>
      </c>
      <c r="D34" s="331" t="s">
        <v>826</v>
      </c>
      <c r="E34" s="331" t="s">
        <v>739</v>
      </c>
      <c r="F34" s="331" t="s">
        <v>827</v>
      </c>
      <c r="H34" t="s">
        <v>828</v>
      </c>
    </row>
    <row r="35" spans="2:8" ht="22.5">
      <c r="B35" s="332" t="s">
        <v>217</v>
      </c>
      <c r="C35" s="326"/>
      <c r="D35" s="326"/>
      <c r="E35" s="332" t="s">
        <v>829</v>
      </c>
      <c r="F35" s="333"/>
      <c r="H35" s="100" t="s">
        <v>830</v>
      </c>
    </row>
    <row r="36" spans="2:8" ht="22.5">
      <c r="B36" s="332" t="s">
        <v>218</v>
      </c>
      <c r="C36" s="326"/>
      <c r="D36" s="326"/>
      <c r="E36" s="332" t="s">
        <v>256</v>
      </c>
      <c r="F36" s="333"/>
      <c r="H36" s="363" t="s">
        <v>831</v>
      </c>
    </row>
    <row r="37" spans="2:8" ht="22.5">
      <c r="B37" s="332" t="s">
        <v>123</v>
      </c>
      <c r="C37" s="326"/>
      <c r="D37" s="326"/>
      <c r="E37" s="332" t="s">
        <v>319</v>
      </c>
      <c r="F37" s="333"/>
      <c r="H37" s="120" t="s">
        <v>832</v>
      </c>
    </row>
    <row r="38" spans="2:8" ht="22.5">
      <c r="B38" s="332" t="s">
        <v>220</v>
      </c>
      <c r="C38" s="326"/>
      <c r="D38" s="326"/>
      <c r="E38" s="332" t="s">
        <v>833</v>
      </c>
      <c r="F38" s="333"/>
      <c r="H38" s="120" t="s">
        <v>834</v>
      </c>
    </row>
    <row r="39" spans="2:8" ht="22.5">
      <c r="B39" s="332" t="s">
        <v>221</v>
      </c>
      <c r="C39" s="326"/>
      <c r="D39" s="326"/>
      <c r="E39" s="332" t="s">
        <v>835</v>
      </c>
      <c r="F39" s="333"/>
      <c r="H39" s="120" t="s">
        <v>836</v>
      </c>
    </row>
    <row r="40" spans="2:8" ht="22.5">
      <c r="B40" s="332" t="s">
        <v>222</v>
      </c>
      <c r="C40" s="326"/>
      <c r="D40" s="326"/>
      <c r="E40" s="332" t="s">
        <v>835</v>
      </c>
      <c r="F40" s="333"/>
      <c r="H40" s="120" t="s">
        <v>837</v>
      </c>
    </row>
    <row r="41" spans="2:8" ht="108.6">
      <c r="B41" s="332" t="s">
        <v>153</v>
      </c>
      <c r="C41" s="373" t="s">
        <v>22</v>
      </c>
      <c r="D41" s="373" t="s">
        <v>838</v>
      </c>
      <c r="E41" s="332" t="s">
        <v>312</v>
      </c>
      <c r="F41" s="333"/>
      <c r="H41" s="120" t="s">
        <v>839</v>
      </c>
    </row>
    <row r="42" spans="2:8" ht="22.5">
      <c r="B42" s="332" t="s">
        <v>230</v>
      </c>
      <c r="C42" s="326"/>
      <c r="D42" s="326"/>
      <c r="E42" s="332" t="s">
        <v>280</v>
      </c>
      <c r="F42" s="333"/>
      <c r="H42" s="120" t="s">
        <v>840</v>
      </c>
    </row>
    <row r="43" spans="2:8" ht="22.5">
      <c r="B43" s="332" t="s">
        <v>234</v>
      </c>
      <c r="C43" s="326"/>
      <c r="D43" s="326"/>
      <c r="E43" s="332" t="s">
        <v>833</v>
      </c>
      <c r="F43" s="333"/>
      <c r="H43" s="120" t="s">
        <v>841</v>
      </c>
    </row>
    <row r="44" spans="2:8" ht="22.5">
      <c r="B44" s="332" t="s">
        <v>235</v>
      </c>
      <c r="C44" s="326"/>
      <c r="D44" s="326"/>
      <c r="E44" s="332" t="s">
        <v>303</v>
      </c>
      <c r="F44" s="333"/>
      <c r="H44" s="100" t="s">
        <v>842</v>
      </c>
    </row>
    <row r="45" spans="2:8" ht="22.5">
      <c r="B45" s="332" t="s">
        <v>236</v>
      </c>
      <c r="C45" s="326"/>
      <c r="D45" s="326"/>
      <c r="E45" s="332" t="s">
        <v>303</v>
      </c>
      <c r="F45" s="333"/>
      <c r="H45" s="120" t="s">
        <v>843</v>
      </c>
    </row>
    <row r="46" spans="2:8" ht="22.5">
      <c r="B46" s="332" t="s">
        <v>237</v>
      </c>
      <c r="C46" s="326"/>
      <c r="D46" s="326"/>
      <c r="E46" s="332" t="s">
        <v>303</v>
      </c>
      <c r="F46" s="333"/>
      <c r="H46" s="120" t="s">
        <v>844</v>
      </c>
    </row>
    <row r="47" spans="2:8" ht="22.5">
      <c r="B47" s="332" t="s">
        <v>238</v>
      </c>
      <c r="C47" s="326"/>
      <c r="D47" s="326"/>
      <c r="E47" s="332" t="s">
        <v>303</v>
      </c>
      <c r="F47" s="333"/>
      <c r="H47" s="120" t="s">
        <v>845</v>
      </c>
    </row>
    <row r="48" spans="2:8" ht="22.5">
      <c r="B48" s="332" t="s">
        <v>239</v>
      </c>
      <c r="C48" s="326"/>
      <c r="D48" s="326"/>
      <c r="E48" s="332" t="s">
        <v>303</v>
      </c>
      <c r="F48" s="333"/>
      <c r="H48" s="120" t="s">
        <v>846</v>
      </c>
    </row>
    <row r="49" spans="2:8" ht="22.5">
      <c r="B49" s="332" t="s">
        <v>240</v>
      </c>
      <c r="C49" s="326"/>
      <c r="D49" s="326"/>
      <c r="E49" s="332" t="s">
        <v>303</v>
      </c>
      <c r="F49" s="333"/>
      <c r="H49" s="120" t="s">
        <v>847</v>
      </c>
    </row>
    <row r="50" spans="2:8" ht="22.5">
      <c r="B50" s="327"/>
      <c r="C50" s="328"/>
      <c r="D50" s="328"/>
      <c r="E50" s="327"/>
      <c r="F50" s="329"/>
      <c r="H50" s="120" t="s">
        <v>848</v>
      </c>
    </row>
    <row r="51" spans="2:8">
      <c r="B51" s="484" t="s">
        <v>849</v>
      </c>
      <c r="C51" s="484"/>
      <c r="D51" s="484"/>
      <c r="E51" s="484"/>
      <c r="F51" s="484"/>
      <c r="H51" s="120" t="s">
        <v>850</v>
      </c>
    </row>
    <row r="52" spans="2:8" ht="15" thickBot="1">
      <c r="B52" s="485"/>
      <c r="C52" s="485"/>
      <c r="D52" s="485"/>
      <c r="E52" s="485"/>
      <c r="F52" s="485"/>
      <c r="H52" s="120" t="s">
        <v>851</v>
      </c>
    </row>
    <row r="53" spans="2:8">
      <c r="B53" s="177" t="s">
        <v>824</v>
      </c>
      <c r="C53" s="124" t="s">
        <v>825</v>
      </c>
      <c r="D53" s="124" t="s">
        <v>852</v>
      </c>
      <c r="E53" s="125" t="s">
        <v>826</v>
      </c>
      <c r="F53" s="125" t="s">
        <v>827</v>
      </c>
      <c r="H53" s="120" t="s">
        <v>853</v>
      </c>
    </row>
    <row r="54" spans="2:8" ht="22.5">
      <c r="B54" s="178"/>
      <c r="C54" s="127"/>
      <c r="D54" s="128"/>
      <c r="E54" s="126"/>
      <c r="F54" s="129"/>
      <c r="H54" s="120" t="s">
        <v>854</v>
      </c>
    </row>
    <row r="55" spans="2:8" ht="22.5">
      <c r="B55" s="178"/>
      <c r="C55" s="127"/>
      <c r="D55" s="128"/>
      <c r="E55" s="126"/>
      <c r="F55" s="129"/>
      <c r="H55" s="120" t="s">
        <v>855</v>
      </c>
    </row>
    <row r="56" spans="2:8" ht="22.5">
      <c r="B56" s="178"/>
      <c r="C56" s="128"/>
      <c r="D56" s="128"/>
      <c r="E56" s="126"/>
      <c r="F56" s="129"/>
      <c r="H56" s="120" t="s">
        <v>856</v>
      </c>
    </row>
    <row r="57" spans="2:8" ht="22.5">
      <c r="B57" s="178"/>
      <c r="C57" s="128"/>
      <c r="D57" s="128"/>
      <c r="E57" s="126"/>
      <c r="F57" s="129"/>
      <c r="H57" s="120" t="s">
        <v>857</v>
      </c>
    </row>
    <row r="58" spans="2:8" ht="22.5">
      <c r="B58" s="178"/>
      <c r="C58" s="127"/>
      <c r="D58" s="128"/>
      <c r="E58" s="126"/>
      <c r="F58" s="129"/>
      <c r="H58" s="120" t="s">
        <v>858</v>
      </c>
    </row>
    <row r="59" spans="2:8" ht="22.5">
      <c r="B59" s="178"/>
      <c r="C59" s="127"/>
      <c r="D59" s="128"/>
      <c r="E59" s="126"/>
      <c r="F59" s="129"/>
      <c r="H59" s="120" t="s">
        <v>859</v>
      </c>
    </row>
    <row r="60" spans="2:8" ht="22.5">
      <c r="B60" s="178"/>
      <c r="C60" s="128"/>
      <c r="D60" s="128"/>
      <c r="E60" s="126"/>
      <c r="F60" s="129"/>
      <c r="H60" s="120" t="s">
        <v>860</v>
      </c>
    </row>
    <row r="61" spans="2:8" ht="22.5">
      <c r="B61" s="178"/>
      <c r="C61" s="128"/>
      <c r="D61" s="128"/>
      <c r="E61" s="126"/>
      <c r="F61" s="129"/>
      <c r="H61" s="120" t="s">
        <v>861</v>
      </c>
    </row>
    <row r="62" spans="2:8" ht="23.1" thickBot="1">
      <c r="B62" s="179"/>
      <c r="C62" s="130"/>
      <c r="D62" s="131"/>
      <c r="E62" s="126"/>
      <c r="F62" s="129"/>
      <c r="H62" s="120" t="s">
        <v>862</v>
      </c>
    </row>
    <row r="63" spans="2:8" ht="22.5">
      <c r="B63" s="178"/>
      <c r="C63" s="128"/>
      <c r="D63" s="128"/>
      <c r="E63" s="126"/>
      <c r="F63" s="129"/>
      <c r="H63" s="120" t="s">
        <v>863</v>
      </c>
    </row>
    <row r="64" spans="2:8">
      <c r="H64" s="120" t="s">
        <v>864</v>
      </c>
    </row>
    <row r="65" spans="8:8">
      <c r="H65" s="120" t="s">
        <v>865</v>
      </c>
    </row>
    <row r="66" spans="8:8">
      <c r="H66" s="120" t="s">
        <v>866</v>
      </c>
    </row>
  </sheetData>
  <mergeCells count="5">
    <mergeCell ref="H32:H33"/>
    <mergeCell ref="B1:B2"/>
    <mergeCell ref="B32:F33"/>
    <mergeCell ref="B18:G19"/>
    <mergeCell ref="B51:F52"/>
  </mergeCells>
  <phoneticPr fontId="29" type="noConversion"/>
  <hyperlinks>
    <hyperlink ref="H37" r:id="rId1" xr:uid="{86105A12-BDEC-4D5A-BC16-7371B9C1A93B}"/>
    <hyperlink ref="H36" r:id="rId2" xr:uid="{5174086A-A839-456C-A816-C83E3EEDA505}"/>
    <hyperlink ref="H42" r:id="rId3" xr:uid="{EB1A7E32-B3C4-47E6-AD33-441774805BE8}"/>
    <hyperlink ref="H45" r:id="rId4" display="craig.maki@aciworldwide.com" xr:uid="{396376D4-36B8-474D-ADAB-8B80DCAAAB20}"/>
    <hyperlink ref="H43" r:id="rId5" xr:uid="{C5834639-9356-4B7D-8895-8D117BFAED1F}"/>
  </hyperlinks>
  <pageMargins left="0.7" right="0.7" top="0.75" bottom="0.75" header="0.3" footer="0.3"/>
  <drawing r:id="rId6"/>
  <tableParts count="2">
    <tablePart r:id="rId7"/>
    <tablePart r:id="rId8"/>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45102-DD37-4DDB-A044-F4B5185BDAEB}">
  <dimension ref="A1:A10"/>
  <sheetViews>
    <sheetView workbookViewId="0">
      <selection activeCell="A19" sqref="A1:A19"/>
    </sheetView>
  </sheetViews>
  <sheetFormatPr defaultColWidth="43.140625" defaultRowHeight="14.45"/>
  <cols>
    <col min="1" max="1" width="76.5703125" customWidth="1"/>
  </cols>
  <sheetData>
    <row r="1" spans="1:1" ht="30.95">
      <c r="A1" s="338" t="s">
        <v>867</v>
      </c>
    </row>
    <row r="2" spans="1:1" ht="15.6">
      <c r="A2" s="339" t="s">
        <v>868</v>
      </c>
    </row>
    <row r="3" spans="1:1" ht="15.6">
      <c r="A3" s="339" t="s">
        <v>869</v>
      </c>
    </row>
    <row r="4" spans="1:1" ht="15.6">
      <c r="A4" s="339" t="s">
        <v>870</v>
      </c>
    </row>
    <row r="5" spans="1:1" ht="15.6">
      <c r="A5" s="340" t="s">
        <v>871</v>
      </c>
    </row>
    <row r="6" spans="1:1" ht="30.95">
      <c r="A6" s="340" t="s">
        <v>872</v>
      </c>
    </row>
    <row r="7" spans="1:1" ht="15.6">
      <c r="A7" s="339" t="s">
        <v>873</v>
      </c>
    </row>
    <row r="8" spans="1:1" ht="15.6">
      <c r="A8" s="340" t="s">
        <v>874</v>
      </c>
    </row>
    <row r="9" spans="1:1" ht="15.6">
      <c r="A9" s="340" t="s">
        <v>875</v>
      </c>
    </row>
    <row r="10" spans="1:1" ht="15.6">
      <c r="A10" s="339" t="s">
        <v>876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03FE6-8723-4B6A-8203-37492754FE85}">
  <dimension ref="A1:K33"/>
  <sheetViews>
    <sheetView workbookViewId="0">
      <selection activeCell="B15" sqref="B15"/>
    </sheetView>
  </sheetViews>
  <sheetFormatPr defaultColWidth="56.28515625" defaultRowHeight="15" customHeight="1"/>
  <cols>
    <col min="1" max="1" width="21.28515625" customWidth="1"/>
    <col min="2" max="2" width="19.5703125" customWidth="1"/>
    <col min="3" max="3" width="17.140625" customWidth="1"/>
    <col min="4" max="4" width="38.5703125" customWidth="1"/>
    <col min="5" max="6" width="11.42578125" bestFit="1" customWidth="1"/>
    <col min="8" max="10" width="10.42578125" bestFit="1" customWidth="1"/>
    <col min="11" max="11" width="17.28515625" bestFit="1" customWidth="1"/>
  </cols>
  <sheetData>
    <row r="1" spans="1:11" s="342" customFormat="1" ht="15" customHeight="1">
      <c r="A1" s="345"/>
      <c r="B1" s="345"/>
      <c r="C1" s="345"/>
      <c r="D1" s="345"/>
      <c r="E1" s="345"/>
      <c r="F1" s="345"/>
      <c r="G1" s="345"/>
      <c r="H1" s="345"/>
      <c r="I1"/>
      <c r="J1" s="345"/>
      <c r="K1" s="345"/>
    </row>
    <row r="2" spans="1:11" s="103" customFormat="1" ht="30" customHeight="1">
      <c r="A2" s="345"/>
      <c r="B2" s="345"/>
      <c r="C2" s="345"/>
      <c r="D2" s="345"/>
      <c r="E2" s="345"/>
      <c r="F2" s="345"/>
      <c r="G2" s="345"/>
      <c r="H2" s="345"/>
      <c r="I2" s="345"/>
      <c r="J2" s="345"/>
      <c r="K2" s="345"/>
    </row>
    <row r="3" spans="1:11" ht="14.45">
      <c r="A3" s="345"/>
      <c r="B3" s="345"/>
      <c r="C3" s="345"/>
      <c r="D3" s="345"/>
      <c r="E3" s="345"/>
      <c r="F3" s="345"/>
      <c r="G3" s="345"/>
      <c r="H3" s="345"/>
      <c r="I3" s="345"/>
      <c r="J3" s="345"/>
      <c r="K3" s="345"/>
    </row>
    <row r="4" spans="1:11" ht="14.45">
      <c r="A4" s="345"/>
      <c r="B4" s="345"/>
      <c r="C4" s="345"/>
      <c r="D4" s="345"/>
      <c r="E4" s="345"/>
      <c r="F4" s="345"/>
      <c r="G4" s="345"/>
      <c r="H4" s="345"/>
      <c r="I4" s="345"/>
      <c r="J4" s="345"/>
      <c r="K4" s="345"/>
    </row>
    <row r="5" spans="1:11" ht="14.45">
      <c r="A5" s="345"/>
      <c r="B5" s="345"/>
      <c r="C5" s="345"/>
      <c r="D5" s="345"/>
      <c r="E5" s="345"/>
      <c r="F5" s="345"/>
      <c r="G5" s="345"/>
      <c r="H5" s="345"/>
      <c r="I5" s="345"/>
      <c r="J5" s="345"/>
      <c r="K5" s="345"/>
    </row>
    <row r="6" spans="1:11" ht="15" customHeight="1">
      <c r="A6" s="341"/>
      <c r="B6" s="341"/>
      <c r="C6" s="341"/>
      <c r="D6" s="341"/>
      <c r="E6" s="486" t="s">
        <v>877</v>
      </c>
      <c r="F6" s="486"/>
      <c r="G6" s="341"/>
      <c r="H6" s="486" t="s">
        <v>878</v>
      </c>
      <c r="I6" s="486"/>
      <c r="J6" s="486"/>
      <c r="K6" s="341"/>
    </row>
    <row r="7" spans="1:11" s="103" customFormat="1" ht="26.1">
      <c r="A7" s="344" t="s">
        <v>879</v>
      </c>
      <c r="B7" s="344" t="s">
        <v>880</v>
      </c>
      <c r="C7" s="343" t="s">
        <v>207</v>
      </c>
      <c r="D7" s="343" t="s">
        <v>881</v>
      </c>
      <c r="E7" s="343" t="s">
        <v>882</v>
      </c>
      <c r="F7" s="343" t="s">
        <v>883</v>
      </c>
      <c r="G7" s="343" t="s">
        <v>211</v>
      </c>
      <c r="H7" s="343" t="s">
        <v>884</v>
      </c>
      <c r="I7" s="343" t="s">
        <v>885</v>
      </c>
      <c r="J7" s="343" t="s">
        <v>886</v>
      </c>
      <c r="K7" s="343" t="s">
        <v>215</v>
      </c>
    </row>
    <row r="8" spans="1:11" ht="29.1">
      <c r="A8" s="336" t="s">
        <v>24</v>
      </c>
      <c r="B8" s="336" t="s">
        <v>22</v>
      </c>
      <c r="C8" s="334" t="s">
        <v>887</v>
      </c>
      <c r="D8" s="335" t="s">
        <v>888</v>
      </c>
      <c r="E8" s="336">
        <v>12</v>
      </c>
      <c r="F8" s="336">
        <v>3</v>
      </c>
      <c r="G8" s="335" t="s">
        <v>889</v>
      </c>
      <c r="H8" s="337" t="s">
        <v>890</v>
      </c>
      <c r="I8" s="337" t="s">
        <v>891</v>
      </c>
      <c r="J8" s="337" t="s">
        <v>892</v>
      </c>
      <c r="K8" s="334" t="s">
        <v>893</v>
      </c>
    </row>
    <row r="9" spans="1:11" ht="14.45">
      <c r="A9" s="341"/>
      <c r="B9" s="341"/>
      <c r="C9" s="341"/>
      <c r="D9" s="341"/>
      <c r="E9" s="341"/>
      <c r="F9" s="341"/>
      <c r="G9" s="341"/>
      <c r="H9" s="341"/>
      <c r="I9" s="341"/>
      <c r="J9" s="341"/>
      <c r="K9" s="341"/>
    </row>
    <row r="10" spans="1:11" ht="14.45">
      <c r="A10" s="336"/>
      <c r="B10" s="336"/>
      <c r="C10" s="334" t="s">
        <v>887</v>
      </c>
      <c r="D10" s="335"/>
      <c r="E10" s="336"/>
      <c r="F10" s="336"/>
      <c r="G10" s="335"/>
      <c r="H10" s="337"/>
      <c r="I10" s="337"/>
      <c r="J10" s="337"/>
      <c r="K10" s="334" t="s">
        <v>893</v>
      </c>
    </row>
    <row r="11" spans="1:11" ht="14.45">
      <c r="A11" s="336"/>
      <c r="B11" s="336"/>
      <c r="C11" s="334" t="s">
        <v>893</v>
      </c>
      <c r="D11" s="335"/>
      <c r="E11" s="336"/>
      <c r="F11" s="336"/>
      <c r="G11" s="335"/>
      <c r="H11" s="337"/>
      <c r="I11" s="337"/>
      <c r="J11" s="337"/>
      <c r="K11" s="334" t="s">
        <v>894</v>
      </c>
    </row>
    <row r="12" spans="1:11" ht="14.45">
      <c r="A12" s="336"/>
      <c r="B12" s="336"/>
      <c r="C12" s="334" t="s">
        <v>894</v>
      </c>
      <c r="D12" s="335"/>
      <c r="E12" s="336"/>
      <c r="F12" s="336"/>
      <c r="G12" s="335"/>
      <c r="H12" s="337"/>
      <c r="I12" s="337"/>
      <c r="J12" s="337"/>
      <c r="K12" s="334" t="s">
        <v>895</v>
      </c>
    </row>
    <row r="13" spans="1:11" ht="14.45">
      <c r="A13" s="336"/>
      <c r="B13" s="336"/>
      <c r="C13" s="334" t="s">
        <v>895</v>
      </c>
      <c r="D13" s="335"/>
      <c r="E13" s="336"/>
      <c r="F13" s="336"/>
      <c r="G13" s="335"/>
      <c r="H13" s="337"/>
      <c r="I13" s="337"/>
      <c r="J13" s="337"/>
      <c r="K13" s="334" t="s">
        <v>896</v>
      </c>
    </row>
    <row r="14" spans="1:11" ht="14.45">
      <c r="A14" s="336"/>
      <c r="B14" s="336"/>
      <c r="C14" s="334" t="s">
        <v>896</v>
      </c>
      <c r="D14" s="335"/>
      <c r="E14" s="336"/>
      <c r="F14" s="336"/>
      <c r="G14" s="335"/>
      <c r="H14" s="337"/>
      <c r="I14" s="337"/>
      <c r="J14" s="337"/>
      <c r="K14" s="334" t="s">
        <v>897</v>
      </c>
    </row>
    <row r="15" spans="1:11" ht="14.45">
      <c r="A15" s="336"/>
      <c r="B15" s="336"/>
      <c r="C15" s="334" t="s">
        <v>897</v>
      </c>
      <c r="D15" s="335"/>
      <c r="E15" s="336"/>
      <c r="F15" s="336"/>
      <c r="G15" s="335"/>
      <c r="H15" s="337"/>
      <c r="I15" s="337"/>
      <c r="J15" s="337"/>
      <c r="K15" s="334" t="s">
        <v>898</v>
      </c>
    </row>
    <row r="16" spans="1:11" ht="14.45">
      <c r="A16" s="336"/>
      <c r="B16" s="336"/>
      <c r="C16" s="334" t="s">
        <v>898</v>
      </c>
      <c r="D16" s="335"/>
      <c r="E16" s="336"/>
      <c r="F16" s="336"/>
      <c r="G16" s="335"/>
      <c r="H16" s="337"/>
      <c r="I16" s="337"/>
      <c r="J16" s="337"/>
      <c r="K16" s="334" t="s">
        <v>899</v>
      </c>
    </row>
    <row r="17" spans="1:11" ht="14.45">
      <c r="A17" s="336"/>
      <c r="B17" s="336"/>
      <c r="C17" s="334" t="s">
        <v>899</v>
      </c>
      <c r="D17" s="335"/>
      <c r="E17" s="336"/>
      <c r="F17" s="336"/>
      <c r="G17" s="335"/>
      <c r="H17" s="337"/>
      <c r="I17" s="337"/>
      <c r="J17" s="337"/>
      <c r="K17" s="334" t="s">
        <v>900</v>
      </c>
    </row>
    <row r="18" spans="1:11" ht="14.45">
      <c r="A18" s="336"/>
      <c r="B18" s="336"/>
      <c r="C18" s="334" t="s">
        <v>900</v>
      </c>
      <c r="D18" s="335"/>
      <c r="E18" s="336"/>
      <c r="F18" s="336"/>
      <c r="G18" s="335"/>
      <c r="H18" s="337"/>
      <c r="I18" s="337"/>
      <c r="J18" s="337"/>
      <c r="K18" s="334" t="s">
        <v>901</v>
      </c>
    </row>
    <row r="19" spans="1:11" ht="14.45">
      <c r="A19" s="336"/>
      <c r="B19" s="336"/>
      <c r="C19" s="334" t="s">
        <v>901</v>
      </c>
      <c r="D19" s="335"/>
      <c r="E19" s="336"/>
      <c r="F19" s="336"/>
      <c r="G19" s="335"/>
      <c r="H19" s="337"/>
      <c r="I19" s="337"/>
      <c r="J19" s="337"/>
      <c r="K19" s="334" t="s">
        <v>902</v>
      </c>
    </row>
    <row r="20" spans="1:11" ht="14.45">
      <c r="A20" s="336"/>
      <c r="B20" s="336"/>
      <c r="C20" s="334" t="s">
        <v>902</v>
      </c>
      <c r="D20" s="335"/>
      <c r="E20" s="336"/>
      <c r="F20" s="336"/>
      <c r="G20" s="335"/>
      <c r="H20" s="337"/>
      <c r="I20" s="337"/>
      <c r="J20" s="337"/>
      <c r="K20" s="334" t="s">
        <v>903</v>
      </c>
    </row>
    <row r="21" spans="1:11" ht="14.45">
      <c r="A21" s="336"/>
      <c r="B21" s="336"/>
      <c r="C21" s="334" t="s">
        <v>903</v>
      </c>
      <c r="D21" s="335"/>
      <c r="E21" s="336"/>
      <c r="F21" s="336"/>
      <c r="G21" s="335"/>
      <c r="H21" s="337"/>
      <c r="I21" s="337"/>
      <c r="J21" s="337"/>
      <c r="K21" s="334" t="s">
        <v>904</v>
      </c>
    </row>
    <row r="22" spans="1:11" ht="14.45">
      <c r="A22" s="336"/>
      <c r="B22" s="336"/>
      <c r="C22" s="334" t="s">
        <v>904</v>
      </c>
      <c r="D22" s="335"/>
      <c r="E22" s="336"/>
      <c r="F22" s="336"/>
      <c r="G22" s="335"/>
      <c r="H22" s="337"/>
      <c r="I22" s="337"/>
      <c r="J22" s="337"/>
      <c r="K22" s="334" t="s">
        <v>905</v>
      </c>
    </row>
    <row r="23" spans="1:11" ht="15" customHeight="1">
      <c r="A23" s="336"/>
      <c r="B23" s="336"/>
      <c r="C23" s="334" t="s">
        <v>905</v>
      </c>
      <c r="D23" s="335"/>
      <c r="E23" s="336"/>
      <c r="F23" s="336"/>
      <c r="G23" s="335"/>
      <c r="H23" s="337"/>
      <c r="I23" s="337"/>
      <c r="J23" s="337"/>
      <c r="K23" s="334" t="s">
        <v>906</v>
      </c>
    </row>
    <row r="24" spans="1:11" ht="15" customHeight="1">
      <c r="A24" s="336"/>
      <c r="B24" s="336"/>
      <c r="C24" s="334" t="s">
        <v>906</v>
      </c>
      <c r="D24" s="335"/>
      <c r="E24" s="336"/>
      <c r="F24" s="336"/>
      <c r="G24" s="335"/>
      <c r="H24" s="337"/>
      <c r="I24" s="337"/>
      <c r="J24" s="337"/>
      <c r="K24" s="334" t="s">
        <v>907</v>
      </c>
    </row>
    <row r="25" spans="1:11" ht="15" customHeight="1">
      <c r="A25" s="336"/>
      <c r="B25" s="336"/>
      <c r="C25" s="334" t="s">
        <v>907</v>
      </c>
      <c r="D25" s="335"/>
      <c r="E25" s="336"/>
      <c r="F25" s="336"/>
      <c r="G25" s="335"/>
      <c r="H25" s="337"/>
      <c r="I25" s="337"/>
      <c r="J25" s="337"/>
      <c r="K25" s="334"/>
    </row>
    <row r="26" spans="1:11" ht="15" customHeight="1">
      <c r="A26" s="336"/>
      <c r="B26" s="336"/>
      <c r="C26" s="334"/>
      <c r="D26" s="335"/>
      <c r="E26" s="336"/>
      <c r="F26" s="336"/>
      <c r="G26" s="335"/>
      <c r="H26" s="337"/>
      <c r="I26" s="337"/>
      <c r="J26" s="337"/>
      <c r="K26" s="334"/>
    </row>
    <row r="27" spans="1:11" ht="15" customHeight="1">
      <c r="A27" s="336"/>
      <c r="B27" s="336"/>
      <c r="C27" s="334"/>
      <c r="D27" s="335"/>
      <c r="E27" s="336"/>
      <c r="F27" s="336"/>
      <c r="G27" s="335"/>
      <c r="H27" s="337"/>
      <c r="I27" s="337"/>
      <c r="J27" s="337"/>
      <c r="K27" s="334"/>
    </row>
    <row r="28" spans="1:11" ht="15" customHeight="1">
      <c r="A28" s="336"/>
      <c r="B28" s="336"/>
      <c r="C28" s="334"/>
      <c r="D28" s="335"/>
      <c r="E28" s="336"/>
      <c r="F28" s="336"/>
      <c r="G28" s="335"/>
      <c r="H28" s="337"/>
      <c r="I28" s="337"/>
      <c r="J28" s="337"/>
      <c r="K28" s="334"/>
    </row>
    <row r="31" spans="1:11" ht="14.45"/>
    <row r="32" spans="1:11" ht="14.45"/>
    <row r="33" ht="14.45"/>
  </sheetData>
  <mergeCells count="2">
    <mergeCell ref="E6:F6"/>
    <mergeCell ref="H6:J6"/>
  </mergeCells>
  <conditionalFormatting sqref="A8:B8">
    <cfRule type="cellIs" dxfId="110" priority="1" operator="equal">
      <formula>"N/A"</formula>
    </cfRule>
    <cfRule type="cellIs" dxfId="109" priority="2" operator="equal">
      <formula>"Red"</formula>
    </cfRule>
    <cfRule type="cellIs" dxfId="108" priority="3" operator="equal">
      <formula>"Amber"</formula>
    </cfRule>
    <cfRule type="cellIs" dxfId="107" priority="4" operator="equal">
      <formula>"Green"</formula>
    </cfRule>
  </conditionalFormatting>
  <conditionalFormatting sqref="A10:B28">
    <cfRule type="cellIs" dxfId="106" priority="5" operator="equal">
      <formula>"N/A"</formula>
    </cfRule>
    <cfRule type="cellIs" dxfId="105" priority="6" operator="equal">
      <formula>"Red"</formula>
    </cfRule>
    <cfRule type="cellIs" dxfId="104" priority="7" operator="equal">
      <formula>"Amber"</formula>
    </cfRule>
    <cfRule type="cellIs" dxfId="103" priority="8" operator="equal">
      <formula>"Green"</formula>
    </cfRule>
  </conditionalFormatting>
  <dataValidations count="1">
    <dataValidation type="list" allowBlank="1" showInputMessage="1" showErrorMessage="1" sqref="A10:B28 A8:B8" xr:uid="{02F4A8B6-F499-4076-8803-1361F278F6CA}">
      <formula1>"Green, Amber, Red, N/A"</formula1>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EDF0F-C99C-484F-B4DF-9BD062FEA945}">
  <sheetPr>
    <tabColor rgb="FFFFFF00"/>
  </sheetPr>
  <dimension ref="B2:G44"/>
  <sheetViews>
    <sheetView topLeftCell="A13" workbookViewId="0">
      <selection activeCell="C4" sqref="C4:D4"/>
    </sheetView>
  </sheetViews>
  <sheetFormatPr defaultColWidth="30.28515625" defaultRowHeight="14.45"/>
  <cols>
    <col min="1" max="1" width="30.28515625" style="1"/>
    <col min="2" max="2" width="38.7109375" style="1" customWidth="1"/>
    <col min="3" max="3" width="11" style="1" customWidth="1"/>
    <col min="4" max="5" width="30.28515625" style="1"/>
    <col min="6" max="6" width="88.28515625" style="1" customWidth="1"/>
    <col min="7" max="7" width="34.7109375" style="1" bestFit="1" customWidth="1"/>
    <col min="8" max="16384" width="30.28515625" style="1"/>
  </cols>
  <sheetData>
    <row r="2" spans="2:7" ht="21">
      <c r="B2" s="492" t="s">
        <v>908</v>
      </c>
      <c r="C2" s="493"/>
      <c r="D2" s="494"/>
      <c r="E2" s="69"/>
      <c r="F2" s="69"/>
      <c r="G2" s="69"/>
    </row>
    <row r="3" spans="2:7">
      <c r="B3" s="71" t="s">
        <v>909</v>
      </c>
      <c r="C3" s="490"/>
      <c r="D3" s="491"/>
      <c r="E3" s="64"/>
      <c r="F3" s="64"/>
      <c r="G3" s="64"/>
    </row>
    <row r="4" spans="2:7">
      <c r="B4" s="71" t="s">
        <v>910</v>
      </c>
      <c r="C4" s="490"/>
      <c r="D4" s="491"/>
    </row>
    <row r="5" spans="2:7" ht="15" thickBot="1">
      <c r="B5" s="72" t="s">
        <v>911</v>
      </c>
      <c r="C5" s="495"/>
      <c r="D5" s="496"/>
      <c r="E5" s="68"/>
      <c r="F5" s="68"/>
      <c r="G5" s="68"/>
    </row>
    <row r="6" spans="2:7">
      <c r="C6" s="70"/>
      <c r="D6" s="70"/>
      <c r="E6" s="68"/>
      <c r="F6" s="68"/>
      <c r="G6" s="68"/>
    </row>
    <row r="7" spans="2:7">
      <c r="B7" s="497" t="s">
        <v>912</v>
      </c>
      <c r="C7" s="498"/>
      <c r="D7" s="498"/>
      <c r="E7" s="498"/>
      <c r="F7" s="498"/>
      <c r="G7" s="499"/>
    </row>
    <row r="8" spans="2:7">
      <c r="B8" s="202" t="s">
        <v>913</v>
      </c>
      <c r="C8" s="202" t="s">
        <v>914</v>
      </c>
      <c r="D8" s="202" t="s">
        <v>915</v>
      </c>
      <c r="E8" s="203" t="s">
        <v>916</v>
      </c>
      <c r="F8" s="203" t="s">
        <v>917</v>
      </c>
      <c r="G8" s="203" t="s">
        <v>918</v>
      </c>
    </row>
    <row r="9" spans="2:7">
      <c r="B9" s="204" t="s">
        <v>232</v>
      </c>
      <c r="C9" s="204" t="s">
        <v>919</v>
      </c>
      <c r="D9" s="204"/>
      <c r="E9" s="205" t="s">
        <v>920</v>
      </c>
      <c r="F9" s="205" t="s">
        <v>921</v>
      </c>
      <c r="G9" s="207" t="s">
        <v>922</v>
      </c>
    </row>
    <row r="10" spans="2:7" ht="15" customHeight="1">
      <c r="B10" s="288" t="s">
        <v>217</v>
      </c>
      <c r="C10" s="288" t="s">
        <v>919</v>
      </c>
      <c r="D10" s="288" t="s">
        <v>587</v>
      </c>
      <c r="E10" s="289" t="s">
        <v>923</v>
      </c>
      <c r="F10" s="290" t="s">
        <v>924</v>
      </c>
      <c r="G10" s="209" t="s">
        <v>925</v>
      </c>
    </row>
    <row r="11" spans="2:7" ht="15" customHeight="1">
      <c r="B11" s="288" t="s">
        <v>217</v>
      </c>
      <c r="C11" s="288" t="s">
        <v>919</v>
      </c>
      <c r="D11" s="288" t="s">
        <v>587</v>
      </c>
      <c r="E11" s="289" t="s">
        <v>926</v>
      </c>
      <c r="F11" s="290" t="s">
        <v>927</v>
      </c>
      <c r="G11" s="209" t="s">
        <v>928</v>
      </c>
    </row>
    <row r="12" spans="2:7" ht="15.95" customHeight="1">
      <c r="B12" s="204" t="s">
        <v>217</v>
      </c>
      <c r="C12" s="204" t="s">
        <v>919</v>
      </c>
      <c r="D12" s="288" t="s">
        <v>587</v>
      </c>
      <c r="E12" s="289" t="s">
        <v>929</v>
      </c>
      <c r="F12" s="290" t="s">
        <v>930</v>
      </c>
      <c r="G12" s="209" t="s">
        <v>931</v>
      </c>
    </row>
    <row r="13" spans="2:7">
      <c r="B13" s="204" t="s">
        <v>218</v>
      </c>
      <c r="C13" s="204" t="s">
        <v>919</v>
      </c>
      <c r="D13" s="204"/>
      <c r="E13" s="205" t="s">
        <v>932</v>
      </c>
      <c r="F13" s="205" t="s">
        <v>933</v>
      </c>
      <c r="G13" s="207" t="s">
        <v>934</v>
      </c>
    </row>
    <row r="14" spans="2:7">
      <c r="B14" s="204" t="s">
        <v>233</v>
      </c>
      <c r="C14" s="204" t="s">
        <v>919</v>
      </c>
      <c r="D14" s="204"/>
      <c r="E14" s="205" t="s">
        <v>935</v>
      </c>
      <c r="F14" s="205" t="s">
        <v>936</v>
      </c>
      <c r="G14" s="207" t="s">
        <v>937</v>
      </c>
    </row>
    <row r="15" spans="2:7">
      <c r="B15" s="204" t="s">
        <v>216</v>
      </c>
      <c r="C15" s="204" t="s">
        <v>919</v>
      </c>
      <c r="D15" s="204"/>
      <c r="E15" s="205" t="s">
        <v>938</v>
      </c>
      <c r="F15" s="205" t="s">
        <v>939</v>
      </c>
      <c r="G15" s="207" t="s">
        <v>940</v>
      </c>
    </row>
    <row r="16" spans="2:7">
      <c r="B16" s="204" t="s">
        <v>236</v>
      </c>
      <c r="C16" s="204" t="s">
        <v>88</v>
      </c>
      <c r="D16" s="204" t="s">
        <v>54</v>
      </c>
      <c r="E16" s="205" t="s">
        <v>941</v>
      </c>
      <c r="F16" s="205" t="s">
        <v>942</v>
      </c>
      <c r="G16" s="207" t="s">
        <v>943</v>
      </c>
    </row>
    <row r="17" spans="2:7">
      <c r="B17" s="204" t="s">
        <v>944</v>
      </c>
      <c r="C17" s="204" t="s">
        <v>919</v>
      </c>
      <c r="D17" s="204" t="s">
        <v>54</v>
      </c>
      <c r="E17" s="205" t="s">
        <v>945</v>
      </c>
      <c r="F17" s="208" t="s">
        <v>946</v>
      </c>
      <c r="G17" s="207" t="s">
        <v>947</v>
      </c>
    </row>
    <row r="18" spans="2:7">
      <c r="B18" s="204" t="s">
        <v>235</v>
      </c>
      <c r="C18" s="204" t="s">
        <v>88</v>
      </c>
      <c r="D18" s="204" t="s">
        <v>54</v>
      </c>
      <c r="E18" s="205" t="s">
        <v>948</v>
      </c>
      <c r="F18" s="208" t="s">
        <v>949</v>
      </c>
      <c r="G18" s="207" t="s">
        <v>950</v>
      </c>
    </row>
    <row r="19" spans="2:7">
      <c r="B19" s="204" t="s">
        <v>951</v>
      </c>
      <c r="C19" s="204" t="s">
        <v>88</v>
      </c>
      <c r="D19" s="204" t="s">
        <v>54</v>
      </c>
      <c r="E19" s="205" t="s">
        <v>952</v>
      </c>
      <c r="F19" s="205" t="s">
        <v>953</v>
      </c>
      <c r="G19" s="207" t="s">
        <v>954</v>
      </c>
    </row>
    <row r="20" spans="2:7">
      <c r="B20" s="204" t="s">
        <v>955</v>
      </c>
      <c r="C20" s="204" t="s">
        <v>88</v>
      </c>
      <c r="D20" s="204" t="s">
        <v>54</v>
      </c>
      <c r="E20" s="205" t="s">
        <v>956</v>
      </c>
      <c r="F20" s="208" t="s">
        <v>957</v>
      </c>
      <c r="G20" s="207" t="s">
        <v>958</v>
      </c>
    </row>
    <row r="21" spans="2:7">
      <c r="B21" s="210" t="s">
        <v>227</v>
      </c>
      <c r="C21" s="210" t="s">
        <v>919</v>
      </c>
      <c r="D21" s="204"/>
      <c r="E21" s="205" t="s">
        <v>959</v>
      </c>
      <c r="F21" s="208" t="s">
        <v>960</v>
      </c>
      <c r="G21" s="209" t="s">
        <v>961</v>
      </c>
    </row>
    <row r="22" spans="2:7">
      <c r="B22" s="204" t="s">
        <v>239</v>
      </c>
      <c r="C22" s="204" t="s">
        <v>88</v>
      </c>
      <c r="D22" s="204" t="s">
        <v>54</v>
      </c>
      <c r="E22" s="205" t="s">
        <v>962</v>
      </c>
      <c r="F22" s="208" t="s">
        <v>963</v>
      </c>
      <c r="G22" s="207" t="s">
        <v>964</v>
      </c>
    </row>
    <row r="23" spans="2:7" ht="14.45" customHeight="1">
      <c r="B23" s="487" t="s">
        <v>224</v>
      </c>
      <c r="C23" s="487" t="s">
        <v>919</v>
      </c>
      <c r="D23" s="204"/>
      <c r="E23" s="205" t="s">
        <v>965</v>
      </c>
      <c r="F23" s="205" t="s">
        <v>966</v>
      </c>
      <c r="G23" s="207" t="s">
        <v>967</v>
      </c>
    </row>
    <row r="24" spans="2:7" ht="14.45" customHeight="1">
      <c r="B24" s="488"/>
      <c r="C24" s="488"/>
      <c r="D24" s="204"/>
      <c r="E24" s="205"/>
      <c r="F24" s="205"/>
      <c r="G24" s="206"/>
    </row>
    <row r="25" spans="2:7" ht="14.45" customHeight="1">
      <c r="B25" s="489"/>
      <c r="C25" s="489"/>
      <c r="D25" s="204"/>
      <c r="E25" s="205" t="s">
        <v>968</v>
      </c>
      <c r="F25" s="205" t="s">
        <v>969</v>
      </c>
      <c r="G25" s="207" t="s">
        <v>970</v>
      </c>
    </row>
    <row r="26" spans="2:7" ht="14.45" customHeight="1">
      <c r="B26" s="204" t="s">
        <v>234</v>
      </c>
      <c r="C26" s="204" t="s">
        <v>919</v>
      </c>
      <c r="D26" s="204"/>
      <c r="E26" s="205" t="s">
        <v>971</v>
      </c>
      <c r="F26" s="205" t="s">
        <v>972</v>
      </c>
      <c r="G26" s="207" t="s">
        <v>973</v>
      </c>
    </row>
    <row r="27" spans="2:7">
      <c r="B27" s="204" t="s">
        <v>240</v>
      </c>
      <c r="C27" s="204" t="s">
        <v>88</v>
      </c>
      <c r="D27" s="204" t="s">
        <v>54</v>
      </c>
      <c r="E27" s="205" t="s">
        <v>974</v>
      </c>
      <c r="F27" s="208" t="s">
        <v>975</v>
      </c>
      <c r="G27" s="207" t="s">
        <v>976</v>
      </c>
    </row>
    <row r="28" spans="2:7" ht="14.45" customHeight="1">
      <c r="B28" s="487" t="s">
        <v>228</v>
      </c>
      <c r="C28" s="487" t="s">
        <v>919</v>
      </c>
      <c r="D28" s="204"/>
      <c r="E28" s="208" t="s">
        <v>977</v>
      </c>
      <c r="F28" s="205" t="s">
        <v>978</v>
      </c>
      <c r="G28" s="207" t="s">
        <v>979</v>
      </c>
    </row>
    <row r="29" spans="2:7" ht="14.45" customHeight="1">
      <c r="B29" s="489"/>
      <c r="C29" s="489"/>
      <c r="D29" s="204"/>
      <c r="E29" s="208" t="s">
        <v>980</v>
      </c>
      <c r="F29" s="205" t="s">
        <v>981</v>
      </c>
      <c r="G29" s="207" t="s">
        <v>982</v>
      </c>
    </row>
    <row r="30" spans="2:7" ht="14.45" customHeight="1">
      <c r="B30" s="210" t="s">
        <v>123</v>
      </c>
      <c r="C30" s="210" t="s">
        <v>919</v>
      </c>
      <c r="D30" s="204"/>
      <c r="E30" s="205" t="s">
        <v>983</v>
      </c>
      <c r="F30" s="208" t="s">
        <v>984</v>
      </c>
      <c r="G30" s="207" t="s">
        <v>985</v>
      </c>
    </row>
    <row r="31" spans="2:7">
      <c r="B31" s="204" t="s">
        <v>223</v>
      </c>
      <c r="C31" s="204" t="s">
        <v>919</v>
      </c>
      <c r="D31" s="204" t="s">
        <v>54</v>
      </c>
      <c r="E31" s="205" t="s">
        <v>986</v>
      </c>
      <c r="F31" s="205" t="s">
        <v>987</v>
      </c>
      <c r="G31" s="207" t="s">
        <v>988</v>
      </c>
    </row>
    <row r="32" spans="2:7">
      <c r="B32" s="487" t="s">
        <v>989</v>
      </c>
      <c r="C32" s="487" t="s">
        <v>919</v>
      </c>
      <c r="D32" s="487"/>
      <c r="E32" s="208" t="s">
        <v>990</v>
      </c>
      <c r="F32" s="205" t="s">
        <v>991</v>
      </c>
      <c r="G32" s="207" t="s">
        <v>992</v>
      </c>
    </row>
    <row r="33" spans="2:7">
      <c r="B33" s="489"/>
      <c r="C33" s="489"/>
      <c r="D33" s="489"/>
      <c r="E33" s="208" t="s">
        <v>993</v>
      </c>
      <c r="F33" s="205" t="s">
        <v>994</v>
      </c>
      <c r="G33" s="207" t="s">
        <v>995</v>
      </c>
    </row>
    <row r="34" spans="2:7">
      <c r="B34" s="204" t="s">
        <v>153</v>
      </c>
      <c r="C34" s="204" t="s">
        <v>919</v>
      </c>
      <c r="D34" s="204"/>
      <c r="E34" s="205" t="s">
        <v>996</v>
      </c>
      <c r="F34" s="205" t="s">
        <v>997</v>
      </c>
      <c r="G34" s="207" t="s">
        <v>998</v>
      </c>
    </row>
    <row r="35" spans="2:7" ht="15" customHeight="1">
      <c r="B35" s="210" t="s">
        <v>999</v>
      </c>
      <c r="C35" s="210" t="s">
        <v>919</v>
      </c>
      <c r="D35" s="204" t="s">
        <v>1000</v>
      </c>
      <c r="E35" s="205" t="s">
        <v>1001</v>
      </c>
      <c r="F35" s="208" t="s">
        <v>1002</v>
      </c>
      <c r="G35" s="207" t="s">
        <v>1003</v>
      </c>
    </row>
    <row r="36" spans="2:7" ht="15" customHeight="1">
      <c r="B36" s="210" t="s">
        <v>999</v>
      </c>
      <c r="C36" s="210" t="s">
        <v>919</v>
      </c>
      <c r="D36" s="204" t="s">
        <v>1000</v>
      </c>
      <c r="E36" s="205" t="s">
        <v>1004</v>
      </c>
      <c r="F36" s="208" t="s">
        <v>1005</v>
      </c>
      <c r="G36" s="207" t="s">
        <v>1006</v>
      </c>
    </row>
    <row r="37" spans="2:7">
      <c r="B37" s="487" t="s">
        <v>1007</v>
      </c>
      <c r="C37" s="487" t="s">
        <v>919</v>
      </c>
      <c r="D37" s="487" t="s">
        <v>54</v>
      </c>
      <c r="E37" s="205" t="s">
        <v>1008</v>
      </c>
      <c r="F37" s="208" t="s">
        <v>1009</v>
      </c>
      <c r="G37" s="207" t="s">
        <v>1010</v>
      </c>
    </row>
    <row r="38" spans="2:7">
      <c r="B38" s="488"/>
      <c r="C38" s="488"/>
      <c r="D38" s="488"/>
      <c r="E38" s="205" t="s">
        <v>1011</v>
      </c>
      <c r="F38" s="205" t="s">
        <v>1012</v>
      </c>
      <c r="G38" s="207" t="s">
        <v>1013</v>
      </c>
    </row>
    <row r="39" spans="2:7">
      <c r="B39" s="489"/>
      <c r="C39" s="489"/>
      <c r="D39" s="489"/>
      <c r="E39" s="205" t="s">
        <v>1014</v>
      </c>
      <c r="F39" s="205" t="s">
        <v>1015</v>
      </c>
      <c r="G39" s="207" t="s">
        <v>1016</v>
      </c>
    </row>
    <row r="40" spans="2:7">
      <c r="B40" s="210" t="s">
        <v>220</v>
      </c>
      <c r="C40" s="210" t="s">
        <v>919</v>
      </c>
      <c r="D40" s="204"/>
      <c r="E40" s="208" t="s">
        <v>1017</v>
      </c>
      <c r="F40" s="208" t="s">
        <v>1018</v>
      </c>
      <c r="G40" s="207" t="s">
        <v>1019</v>
      </c>
    </row>
    <row r="41" spans="2:7">
      <c r="B41" s="204" t="s">
        <v>182</v>
      </c>
      <c r="C41" s="204" t="s">
        <v>919</v>
      </c>
      <c r="D41" s="204" t="s">
        <v>54</v>
      </c>
      <c r="E41" s="205" t="s">
        <v>1020</v>
      </c>
      <c r="F41" s="208" t="s">
        <v>1021</v>
      </c>
      <c r="G41" s="207" t="s">
        <v>1022</v>
      </c>
    </row>
    <row r="42" spans="2:7">
      <c r="B42" s="204" t="s">
        <v>1023</v>
      </c>
      <c r="C42" s="204" t="s">
        <v>919</v>
      </c>
      <c r="D42" s="204" t="s">
        <v>54</v>
      </c>
      <c r="E42" s="207" t="s">
        <v>1024</v>
      </c>
      <c r="F42" s="208" t="s">
        <v>1025</v>
      </c>
      <c r="G42" s="207" t="s">
        <v>1026</v>
      </c>
    </row>
    <row r="43" spans="2:7">
      <c r="B43" s="204" t="s">
        <v>1027</v>
      </c>
      <c r="C43" s="204" t="s">
        <v>919</v>
      </c>
      <c r="D43" s="204" t="s">
        <v>54</v>
      </c>
      <c r="E43" s="207" t="s">
        <v>1024</v>
      </c>
      <c r="F43" s="208" t="s">
        <v>1025</v>
      </c>
      <c r="G43" s="207" t="s">
        <v>1026</v>
      </c>
    </row>
    <row r="44" spans="2:7">
      <c r="B44" s="204" t="s">
        <v>230</v>
      </c>
      <c r="C44" s="204" t="s">
        <v>919</v>
      </c>
      <c r="D44" s="204"/>
      <c r="E44" s="205" t="s">
        <v>1028</v>
      </c>
      <c r="F44" s="205" t="s">
        <v>1029</v>
      </c>
      <c r="G44" s="207" t="s">
        <v>1030</v>
      </c>
    </row>
  </sheetData>
  <autoFilter ref="A8:G44" xr:uid="{648EDF0F-C99C-484F-B4DF-9BD062FEA945}"/>
  <mergeCells count="15">
    <mergeCell ref="B2:D2"/>
    <mergeCell ref="C3:D3"/>
    <mergeCell ref="C5:D5"/>
    <mergeCell ref="B7:G7"/>
    <mergeCell ref="D32:D33"/>
    <mergeCell ref="B37:B39"/>
    <mergeCell ref="C37:C39"/>
    <mergeCell ref="D37:D39"/>
    <mergeCell ref="C4:D4"/>
    <mergeCell ref="B23:B25"/>
    <mergeCell ref="C23:C25"/>
    <mergeCell ref="B28:B29"/>
    <mergeCell ref="C28:C29"/>
    <mergeCell ref="B32:B33"/>
    <mergeCell ref="C32:C33"/>
  </mergeCells>
  <hyperlinks>
    <hyperlink ref="G9" r:id="rId1" display="mailto:congpengfei@abchinausa.com" xr:uid="{4BA2A7ED-8FB5-47C9-90CF-AE548701F538}"/>
    <hyperlink ref="G13" r:id="rId2" display="mailto:Maria.Mason@CitizensBank.com" xr:uid="{8BEE3E82-05B9-4217-AB36-DAFF95157F4F}"/>
    <hyperlink ref="G14" r:id="rId3" display="mailto:Eric.Sandoz@cnb.com" xr:uid="{05015189-9470-45A9-9354-631D7871DFAE}"/>
    <hyperlink ref="G15" r:id="rId4" display="mailto:sdcard-jones@comerica.com" xr:uid="{956DB983-EFAF-4512-90A3-B3A66CD8FEE7}"/>
    <hyperlink ref="G16" r:id="rId5" display="mailto:asbjorn.ure@dnb.no" xr:uid="{05097834-9E18-4C91-A551-5C769D84EC8C}"/>
    <hyperlink ref="G17" r:id="rId6" display="mailto:anastasiya.svyatova@fhlbny.com" xr:uid="{28877B20-3FC9-4E24-9C72-5DCF4F590B6C}"/>
    <hyperlink ref="G18" r:id="rId7" display="mailto:weversley@fhlbatl.com" xr:uid="{C997C44B-EE56-4545-9143-FF2AE9B5A9F3}"/>
    <hyperlink ref="G19" r:id="rId8" display="mailto:HalpinDM@fhlbcin.com" xr:uid="{F26DB898-722B-4E3A-8A01-996D76991D35}"/>
    <hyperlink ref="G20" r:id="rId9" display="mailto:cschuler@fhlbdm.com" xr:uid="{7AD122D2-C800-4F77-92F5-6412BCDECC35}"/>
    <hyperlink ref="G21" r:id="rId10" display="mailto:Rodney.Baker@53.com" xr:uid="{F8653816-5320-4E37-B6D4-6F5C323F5330}"/>
    <hyperlink ref="G22" r:id="rId11" display="mailto:echar@fhb.com" xr:uid="{0C1682B5-5D27-4605-AE27-0CA6E7A92B99}"/>
    <hyperlink ref="G23" r:id="rId12" display="mailto:nebradley@firsthorizon.com" xr:uid="{38CC2B4B-5DD1-4C54-BF0D-5C8E3377AFF9}"/>
    <hyperlink ref="G25" r:id="rId13" display="mailto:JERamson@firsthorizon.com" xr:uid="{98368CBC-8AED-4398-8390-C2311306B18E}"/>
    <hyperlink ref="G26" r:id="rId14" display="mailto:ssufian@fnbo.com" xr:uid="{4155EADD-1694-4242-A15D-9D9F0C231E0F}"/>
    <hyperlink ref="G27" r:id="rId15" display="mailto:bbeckmann@flushingbank.com" xr:uid="{8127F4C7-F1BD-4B73-8772-B7C5DD42353D}"/>
    <hyperlink ref="G28" r:id="rId16" display="mailto:Tarun.Dewan@frostbank.com" xr:uid="{96BCC58D-6D4B-44FD-B542-B84ACF94566F}"/>
    <hyperlink ref="G29" r:id="rId17" display="mailto:Linda.Albornoz@frostbank.com" xr:uid="{2EA8FE9A-9223-4E09-A958-0BB464A0EC4A}"/>
    <hyperlink ref="G30" r:id="rId18" display="mailto:Adriana.Hastings@huntington.com" xr:uid="{5D55A46D-5436-4A9C-A35D-72D2BEC74C0A}"/>
    <hyperlink ref="G31" r:id="rId19" display="mailto:Robert.Fasanello@mizuhogroup.com" xr:uid="{9DFA727A-A1EB-4C39-B8C2-8EF21A208402}"/>
    <hyperlink ref="G32" r:id="rId20" display="mailto:fj16@ntrs.com" xr:uid="{71ABBB59-D631-4AE9-B923-D4FDD1FE440C}"/>
    <hyperlink ref="G33" r:id="rId21" display="mailto:nm177@ntrs.com" xr:uid="{20D6763E-DAE7-440E-A51D-17A9AE31BD76}"/>
    <hyperlink ref="G34" r:id="rId22" display="mailto:franklin.danley@regions.com" xr:uid="{3F1E2EDD-AB47-47CC-B3AA-B7F6509CD33F}"/>
    <hyperlink ref="G35" r:id="rId23" xr:uid="{A152F8CF-7453-4D79-8D60-9EF8003B92B4}"/>
    <hyperlink ref="G37" r:id="rId24" display="mailto:jfulchino@StateStreet.com" xr:uid="{93DA3318-0B2F-4B5B-8391-7D7B193E7DB7}"/>
    <hyperlink ref="G38" r:id="rId25" display="mailto:KHerur@StateStreet.com" xr:uid="{33D94D68-C498-4D1F-AEDA-785CE2A6AABA}"/>
    <hyperlink ref="G39" r:id="rId26" display="mailto:bfranz@statestreet.com" xr:uid="{555718F0-78F4-4E68-B3CF-1E69ACCCC07D}"/>
    <hyperlink ref="G40" r:id="rId27" display="mailto:Banu.Venkat@truist.com" xr:uid="{40CF6F33-9987-4257-BD13-45BCF389E761}"/>
    <hyperlink ref="G41" r:id="rId28" display="mailto:Uma.Wilson@umb.com" xr:uid="{75A50333-EC6E-48DF-87DD-403BB2C56ACC}"/>
    <hyperlink ref="E42" r:id="rId29" display="mailto:Kevin.Hanrahan@wellsfargo.com" xr:uid="{E2975344-1BAF-4C90-834A-34F00CD01D1C}"/>
    <hyperlink ref="G42" r:id="rId30" display="mailto:Sarah.Berwick@wellsfargo.com" xr:uid="{D038BE9C-2879-4013-94F8-59F24C92A810}"/>
    <hyperlink ref="E43" r:id="rId31" display="mailto:Kevin.Hanrahan@wellsfargo.com" xr:uid="{EE091209-DD4C-4B72-9930-896968BD0497}"/>
    <hyperlink ref="G43" r:id="rId32" display="mailto:Sarah.Berwick@wellsfargo.com" xr:uid="{5B0F360C-9A26-4A6E-92F4-BBAE850A71DB}"/>
    <hyperlink ref="G44" r:id="rId33" display="mailto:frank.dipuma@zionsbancorp.com" xr:uid="{F20173EA-A62D-4A5D-968F-0DBD91275CB9}"/>
    <hyperlink ref="G10" r:id="rId34" display="mailto:andrew.mckibben@bofa.com" xr:uid="{8E54B58D-D50D-4769-9417-EC1310FC1BC8}"/>
    <hyperlink ref="G36" r:id="rId35" xr:uid="{AAA1066E-B7AE-4267-840B-24ED34BC7B3C}"/>
  </hyperlinks>
  <pageMargins left="0.7" right="0.7" top="0.75" bottom="0.75" header="0.3" footer="0.3"/>
  <pageSetup orientation="portrait" r:id="rId36"/>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A6222-11E8-420E-84AE-D44F7DF6F0ED}">
  <dimension ref="B2:L34"/>
  <sheetViews>
    <sheetView workbookViewId="0">
      <selection activeCell="B3" sqref="B3"/>
    </sheetView>
  </sheetViews>
  <sheetFormatPr defaultColWidth="9.140625" defaultRowHeight="14.45"/>
  <cols>
    <col min="1" max="1" width="9.140625" style="6"/>
    <col min="2" max="2" width="13.42578125" style="6" bestFit="1" customWidth="1"/>
    <col min="3" max="3" width="11.28515625" style="6" bestFit="1" customWidth="1"/>
    <col min="4" max="4" width="10.7109375" style="6" bestFit="1" customWidth="1"/>
    <col min="5" max="5" width="10" style="6" bestFit="1" customWidth="1"/>
    <col min="6" max="6" width="11.140625" style="6" bestFit="1" customWidth="1"/>
    <col min="7" max="7" width="35.7109375" style="6" bestFit="1" customWidth="1"/>
    <col min="8" max="8" width="19.85546875" style="6" customWidth="1"/>
    <col min="9" max="9" width="15.140625" style="6" bestFit="1" customWidth="1"/>
    <col min="10" max="10" width="49.28515625" style="142" customWidth="1"/>
    <col min="11" max="11" width="37.28515625" style="6" bestFit="1" customWidth="1"/>
    <col min="12" max="12" width="10.85546875" style="6" bestFit="1" customWidth="1"/>
    <col min="13" max="16384" width="9.140625" style="6"/>
  </cols>
  <sheetData>
    <row r="2" spans="2:12" ht="57.95">
      <c r="B2" s="183" t="s">
        <v>913</v>
      </c>
      <c r="C2" s="184" t="s">
        <v>1031</v>
      </c>
      <c r="D2" s="184" t="s">
        <v>1032</v>
      </c>
      <c r="E2" s="184" t="s">
        <v>1033</v>
      </c>
      <c r="F2" s="184" t="s">
        <v>366</v>
      </c>
      <c r="G2" s="184" t="s">
        <v>363</v>
      </c>
      <c r="H2" s="184" t="s">
        <v>1034</v>
      </c>
      <c r="I2" s="184" t="s">
        <v>1035</v>
      </c>
      <c r="J2" s="193" t="s">
        <v>1036</v>
      </c>
      <c r="K2" s="194" t="s">
        <v>1037</v>
      </c>
      <c r="L2" s="194" t="s">
        <v>1038</v>
      </c>
    </row>
    <row r="3" spans="2:12">
      <c r="B3" s="185"/>
      <c r="C3" s="165"/>
      <c r="D3" s="164"/>
      <c r="E3" s="164"/>
      <c r="F3" s="166"/>
      <c r="G3" s="166"/>
      <c r="H3" s="167"/>
      <c r="I3" s="168"/>
      <c r="J3" s="186"/>
      <c r="K3" s="187"/>
      <c r="L3" s="187"/>
    </row>
    <row r="4" spans="2:12">
      <c r="B4" s="185"/>
      <c r="C4" s="165"/>
      <c r="D4" s="164"/>
      <c r="E4" s="164"/>
      <c r="F4" s="166"/>
      <c r="G4" s="166"/>
      <c r="H4" s="167"/>
      <c r="I4" s="168"/>
      <c r="J4" s="163"/>
      <c r="K4" s="195"/>
      <c r="L4" s="195"/>
    </row>
    <row r="5" spans="2:12">
      <c r="B5" s="185"/>
      <c r="C5" s="165"/>
      <c r="D5" s="164"/>
      <c r="E5" s="164"/>
      <c r="F5" s="166"/>
      <c r="G5" s="166"/>
      <c r="H5" s="167"/>
      <c r="I5" s="168"/>
      <c r="J5" s="163"/>
      <c r="K5" s="195"/>
      <c r="L5" s="195"/>
    </row>
    <row r="6" spans="2:12">
      <c r="B6" s="185"/>
      <c r="C6" s="165"/>
      <c r="D6" s="164"/>
      <c r="E6" s="164"/>
      <c r="F6" s="166"/>
      <c r="G6" s="166"/>
      <c r="H6" s="167"/>
      <c r="I6" s="168"/>
      <c r="J6" s="186"/>
      <c r="K6" s="188"/>
      <c r="L6" s="188"/>
    </row>
    <row r="7" spans="2:12">
      <c r="B7" s="185"/>
      <c r="C7" s="165"/>
      <c r="D7" s="164"/>
      <c r="E7" s="164"/>
      <c r="F7" s="166"/>
      <c r="G7" s="166"/>
      <c r="H7" s="167"/>
      <c r="I7" s="168"/>
      <c r="J7" s="186"/>
      <c r="K7" s="192"/>
      <c r="L7" s="192"/>
    </row>
    <row r="8" spans="2:12">
      <c r="B8" s="185"/>
      <c r="C8" s="165"/>
      <c r="D8" s="164"/>
      <c r="E8" s="164"/>
      <c r="F8" s="166"/>
      <c r="G8" s="166"/>
      <c r="H8" s="167"/>
      <c r="I8" s="168"/>
      <c r="J8" s="163"/>
      <c r="K8" s="189"/>
      <c r="L8" s="189"/>
    </row>
    <row r="9" spans="2:12">
      <c r="B9" s="185"/>
      <c r="C9" s="165"/>
      <c r="D9" s="164"/>
      <c r="E9" s="164"/>
      <c r="F9" s="166"/>
      <c r="G9" s="166"/>
      <c r="H9" s="167"/>
      <c r="I9" s="168"/>
      <c r="J9" s="163"/>
      <c r="K9" s="189"/>
      <c r="L9" s="189"/>
    </row>
    <row r="10" spans="2:12">
      <c r="B10" s="185"/>
      <c r="C10" s="165"/>
      <c r="D10" s="164"/>
      <c r="E10" s="164"/>
      <c r="F10" s="166"/>
      <c r="G10" s="166"/>
      <c r="H10" s="167"/>
      <c r="I10" s="168"/>
      <c r="J10" s="163"/>
      <c r="K10" s="189"/>
      <c r="L10" s="189"/>
    </row>
    <row r="11" spans="2:12">
      <c r="B11" s="185"/>
      <c r="C11" s="165"/>
      <c r="D11" s="164"/>
      <c r="E11" s="164"/>
      <c r="F11" s="166"/>
      <c r="G11" s="166"/>
      <c r="H11" s="167"/>
      <c r="I11" s="168"/>
      <c r="J11" s="186"/>
      <c r="K11" s="188"/>
      <c r="L11" s="188"/>
    </row>
    <row r="12" spans="2:12">
      <c r="B12" s="185"/>
      <c r="C12" s="165"/>
      <c r="D12" s="164"/>
      <c r="E12" s="164"/>
      <c r="F12" s="166"/>
      <c r="G12" s="166"/>
      <c r="H12" s="167"/>
      <c r="I12" s="168"/>
      <c r="J12" s="186"/>
      <c r="K12" s="187"/>
      <c r="L12" s="187"/>
    </row>
    <row r="13" spans="2:12">
      <c r="B13" s="185"/>
      <c r="C13" s="165"/>
      <c r="D13" s="164"/>
      <c r="E13" s="164"/>
      <c r="F13" s="166"/>
      <c r="G13" s="166"/>
      <c r="H13" s="167"/>
      <c r="I13" s="168"/>
      <c r="J13" s="163"/>
      <c r="K13" s="189"/>
      <c r="L13" s="189"/>
    </row>
    <row r="14" spans="2:12">
      <c r="B14" s="185"/>
      <c r="C14" s="165"/>
      <c r="D14" s="164"/>
      <c r="E14" s="164"/>
      <c r="F14" s="166"/>
      <c r="G14" s="166"/>
      <c r="H14" s="167"/>
      <c r="I14" s="168"/>
      <c r="J14" s="163"/>
      <c r="K14" s="190"/>
      <c r="L14" s="190"/>
    </row>
    <row r="15" spans="2:12">
      <c r="B15" s="185"/>
      <c r="C15" s="165"/>
      <c r="D15" s="164"/>
      <c r="E15" s="164"/>
      <c r="F15" s="166"/>
      <c r="G15" s="166"/>
      <c r="H15" s="167"/>
      <c r="I15" s="168"/>
      <c r="J15" s="163"/>
      <c r="K15" s="190"/>
      <c r="L15" s="190"/>
    </row>
    <row r="16" spans="2:12">
      <c r="B16" s="185"/>
      <c r="C16" s="165"/>
      <c r="D16" s="164"/>
      <c r="E16" s="164"/>
      <c r="F16" s="166"/>
      <c r="G16" s="166"/>
      <c r="H16" s="167"/>
      <c r="I16" s="168"/>
      <c r="J16" s="163"/>
      <c r="K16" s="190"/>
      <c r="L16" s="190"/>
    </row>
    <row r="17" spans="2:12">
      <c r="B17" s="185"/>
      <c r="C17" s="165"/>
      <c r="D17" s="164"/>
      <c r="E17" s="164"/>
      <c r="F17" s="166"/>
      <c r="G17" s="166"/>
      <c r="H17" s="167"/>
      <c r="I17" s="168"/>
      <c r="J17" s="163"/>
      <c r="K17" s="190"/>
      <c r="L17" s="190"/>
    </row>
    <row r="18" spans="2:12">
      <c r="B18" s="185"/>
      <c r="C18" s="165"/>
      <c r="D18" s="164"/>
      <c r="E18" s="164"/>
      <c r="F18" s="166"/>
      <c r="G18" s="166"/>
      <c r="H18" s="167"/>
      <c r="I18" s="168"/>
      <c r="J18" s="163"/>
      <c r="K18" s="190"/>
      <c r="L18" s="190"/>
    </row>
    <row r="19" spans="2:12">
      <c r="B19" s="185"/>
      <c r="C19" s="165"/>
      <c r="D19" s="164"/>
      <c r="E19" s="164"/>
      <c r="F19" s="166"/>
      <c r="G19" s="166"/>
      <c r="H19" s="167"/>
      <c r="I19" s="168"/>
      <c r="J19" s="163"/>
      <c r="K19" s="191"/>
      <c r="L19" s="191"/>
    </row>
    <row r="20" spans="2:12">
      <c r="B20" s="185"/>
      <c r="C20" s="165"/>
      <c r="D20" s="164"/>
      <c r="E20" s="164"/>
      <c r="F20" s="166"/>
      <c r="G20" s="166"/>
      <c r="H20" s="167"/>
      <c r="I20" s="168"/>
      <c r="J20" s="186"/>
      <c r="K20" s="191"/>
      <c r="L20" s="191"/>
    </row>
    <row r="21" spans="2:12">
      <c r="B21" s="185"/>
      <c r="C21" s="165"/>
      <c r="D21" s="164"/>
      <c r="E21" s="164"/>
      <c r="F21" s="166"/>
      <c r="G21" s="166"/>
      <c r="H21" s="167"/>
      <c r="I21" s="168"/>
      <c r="J21" s="186"/>
      <c r="K21" s="191"/>
      <c r="L21" s="191"/>
    </row>
    <row r="22" spans="2:12">
      <c r="B22" s="185"/>
      <c r="C22" s="165"/>
      <c r="D22" s="164"/>
      <c r="E22" s="164"/>
      <c r="F22" s="166"/>
      <c r="G22" s="166"/>
      <c r="H22" s="167"/>
      <c r="I22" s="168"/>
      <c r="J22" s="186"/>
      <c r="K22" s="191"/>
      <c r="L22" s="191"/>
    </row>
    <row r="23" spans="2:12">
      <c r="B23" s="185"/>
      <c r="C23" s="165"/>
      <c r="D23" s="164"/>
      <c r="E23" s="164"/>
      <c r="F23" s="166"/>
      <c r="G23" s="166"/>
      <c r="H23" s="167"/>
      <c r="I23" s="168"/>
      <c r="J23" s="186"/>
      <c r="K23" s="189"/>
      <c r="L23" s="189"/>
    </row>
    <row r="24" spans="2:12">
      <c r="B24" s="185"/>
      <c r="C24" s="165"/>
      <c r="D24" s="164"/>
      <c r="E24" s="164"/>
      <c r="F24" s="166"/>
      <c r="G24" s="166"/>
      <c r="H24" s="167"/>
      <c r="I24" s="168"/>
      <c r="J24" s="186"/>
      <c r="K24" s="191"/>
      <c r="L24" s="191"/>
    </row>
    <row r="25" spans="2:12">
      <c r="B25" s="185"/>
      <c r="C25" s="165"/>
      <c r="D25" s="164"/>
      <c r="E25" s="164"/>
      <c r="F25" s="166"/>
      <c r="G25" s="166"/>
      <c r="H25" s="167"/>
      <c r="I25" s="168"/>
      <c r="J25" s="186"/>
      <c r="K25" s="195"/>
      <c r="L25" s="195"/>
    </row>
    <row r="26" spans="2:12">
      <c r="B26" s="185"/>
      <c r="C26" s="165"/>
      <c r="D26" s="164"/>
      <c r="E26" s="164"/>
      <c r="F26" s="166"/>
      <c r="G26" s="166"/>
      <c r="H26" s="167"/>
      <c r="I26" s="168"/>
      <c r="J26" s="186"/>
      <c r="K26" s="188"/>
      <c r="L26" s="188"/>
    </row>
    <row r="27" spans="2:12">
      <c r="B27" s="185"/>
      <c r="C27" s="165"/>
      <c r="D27" s="164"/>
      <c r="E27" s="164"/>
      <c r="F27" s="166"/>
      <c r="G27" s="166"/>
      <c r="H27" s="167"/>
      <c r="I27" s="168"/>
      <c r="J27" s="186"/>
      <c r="K27" s="189"/>
      <c r="L27" s="189"/>
    </row>
    <row r="28" spans="2:12">
      <c r="B28" s="185"/>
      <c r="C28" s="165"/>
      <c r="D28" s="164"/>
      <c r="E28" s="164"/>
      <c r="F28" s="166"/>
      <c r="G28" s="166"/>
      <c r="H28" s="167"/>
      <c r="I28" s="168"/>
      <c r="J28" s="186"/>
      <c r="K28" s="191"/>
      <c r="L28" s="191"/>
    </row>
    <row r="29" spans="2:12">
      <c r="B29" s="185"/>
      <c r="C29" s="165"/>
      <c r="D29" s="164"/>
      <c r="E29" s="164"/>
      <c r="F29" s="166"/>
      <c r="G29" s="166"/>
      <c r="H29" s="167"/>
      <c r="I29" s="168"/>
      <c r="J29" s="186"/>
      <c r="K29" s="189"/>
      <c r="L29" s="189"/>
    </row>
    <row r="30" spans="2:12">
      <c r="B30" s="185"/>
      <c r="C30" s="165"/>
      <c r="D30" s="164"/>
      <c r="E30" s="164"/>
      <c r="F30" s="166"/>
      <c r="G30" s="166"/>
      <c r="H30" s="167"/>
      <c r="I30" s="168"/>
      <c r="J30" s="186"/>
      <c r="K30" s="189"/>
      <c r="L30" s="189"/>
    </row>
    <row r="31" spans="2:12">
      <c r="B31" s="185"/>
      <c r="C31" s="165"/>
      <c r="D31" s="164"/>
      <c r="E31" s="164"/>
      <c r="F31" s="166"/>
      <c r="G31" s="166"/>
      <c r="H31" s="167"/>
      <c r="I31" s="168"/>
      <c r="J31" s="186"/>
      <c r="K31" s="189"/>
      <c r="L31" s="189"/>
    </row>
    <row r="32" spans="2:12">
      <c r="B32" s="185"/>
      <c r="C32" s="165"/>
      <c r="D32" s="164"/>
      <c r="E32" s="164"/>
      <c r="F32" s="166"/>
      <c r="G32" s="166"/>
      <c r="H32" s="167"/>
      <c r="I32" s="168"/>
      <c r="J32" s="186"/>
      <c r="K32" s="191"/>
      <c r="L32" s="191"/>
    </row>
    <row r="33" spans="2:12">
      <c r="B33" s="185"/>
      <c r="C33" s="165"/>
      <c r="D33" s="164"/>
      <c r="E33" s="164"/>
      <c r="F33" s="166"/>
      <c r="G33" s="166"/>
      <c r="H33" s="167"/>
      <c r="I33" s="168"/>
      <c r="J33" s="186"/>
      <c r="K33" s="189"/>
      <c r="L33" s="189"/>
    </row>
    <row r="34" spans="2:12">
      <c r="B34" s="172"/>
      <c r="C34" s="173"/>
      <c r="D34" s="174"/>
      <c r="E34" s="174"/>
      <c r="F34" s="169"/>
      <c r="G34" s="169"/>
      <c r="H34" s="170"/>
      <c r="I34" s="175"/>
      <c r="J34" s="196"/>
      <c r="K34" s="171"/>
      <c r="L34" s="189"/>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2B16C-BC24-4A0B-9EF3-07BE3AB165C2}">
  <dimension ref="B2:K40"/>
  <sheetViews>
    <sheetView workbookViewId="0">
      <pane xSplit="2" ySplit="2" topLeftCell="C3" activePane="bottomRight" state="frozen"/>
      <selection pane="bottomRight" activeCell="A3" sqref="A3"/>
      <selection pane="bottomLeft"/>
      <selection pane="topRight"/>
    </sheetView>
  </sheetViews>
  <sheetFormatPr defaultRowHeight="14.45"/>
  <cols>
    <col min="2" max="2" width="11.85546875" bestFit="1" customWidth="1"/>
    <col min="3" max="3" width="13.140625" style="143" bestFit="1" customWidth="1"/>
    <col min="4" max="4" width="9.140625" customWidth="1"/>
    <col min="5" max="5" width="8.42578125" customWidth="1"/>
    <col min="6" max="6" width="9.140625" customWidth="1"/>
    <col min="7" max="7" width="20.140625" style="6" customWidth="1"/>
    <col min="8" max="8" width="171.140625" bestFit="1" customWidth="1"/>
    <col min="9" max="9" width="51.85546875" bestFit="1" customWidth="1"/>
    <col min="10" max="10" width="51.140625" customWidth="1"/>
  </cols>
  <sheetData>
    <row r="2" spans="2:11">
      <c r="B2" s="6" t="s">
        <v>913</v>
      </c>
      <c r="C2" s="142" t="s">
        <v>1039</v>
      </c>
      <c r="D2" s="6" t="s">
        <v>1040</v>
      </c>
      <c r="E2" s="6" t="s">
        <v>369</v>
      </c>
      <c r="F2" s="6" t="s">
        <v>1041</v>
      </c>
      <c r="G2" s="6" t="s">
        <v>363</v>
      </c>
      <c r="H2" s="6" t="s">
        <v>1034</v>
      </c>
      <c r="I2" s="6" t="s">
        <v>1042</v>
      </c>
      <c r="J2" s="6" t="s">
        <v>1043</v>
      </c>
      <c r="K2" s="6"/>
    </row>
    <row r="3" spans="2:11">
      <c r="B3" s="144"/>
      <c r="C3" s="145"/>
      <c r="D3" s="144"/>
      <c r="E3" s="144"/>
      <c r="F3" s="144"/>
      <c r="G3" s="144"/>
      <c r="H3" s="146"/>
      <c r="I3" s="148"/>
      <c r="J3" s="147"/>
      <c r="K3" s="114"/>
    </row>
    <row r="4" spans="2:11">
      <c r="B4" s="144"/>
      <c r="C4" s="150"/>
      <c r="D4" s="144"/>
      <c r="E4" s="144"/>
      <c r="F4" s="144"/>
      <c r="G4" s="144"/>
      <c r="H4" s="146"/>
      <c r="I4" s="148"/>
      <c r="J4" s="147"/>
      <c r="K4" s="114"/>
    </row>
    <row r="5" spans="2:11">
      <c r="B5" s="144"/>
      <c r="C5" s="150"/>
      <c r="D5" s="144"/>
      <c r="E5" s="144"/>
      <c r="F5" s="144"/>
      <c r="G5" s="144"/>
      <c r="H5" s="146"/>
      <c r="I5" s="147"/>
      <c r="J5" s="147"/>
      <c r="K5" s="114"/>
    </row>
    <row r="6" spans="2:11">
      <c r="B6" s="144"/>
      <c r="C6" s="145"/>
      <c r="D6" s="144"/>
      <c r="E6" s="144"/>
      <c r="F6" s="144"/>
      <c r="G6" s="144"/>
      <c r="H6" s="146"/>
      <c r="I6" s="147"/>
      <c r="J6" s="147"/>
      <c r="K6" s="114"/>
    </row>
    <row r="7" spans="2:11">
      <c r="B7" s="144"/>
      <c r="C7" s="145"/>
      <c r="D7" s="144"/>
      <c r="E7" s="144"/>
      <c r="F7" s="144"/>
      <c r="G7" s="144"/>
      <c r="H7" s="146"/>
      <c r="I7" s="147"/>
      <c r="J7" s="147"/>
      <c r="K7" s="114"/>
    </row>
    <row r="8" spans="2:11">
      <c r="B8" s="144"/>
      <c r="C8" s="155"/>
      <c r="D8" s="144"/>
      <c r="E8" s="144"/>
      <c r="F8" s="144"/>
      <c r="G8" s="144"/>
      <c r="H8" s="146"/>
      <c r="I8" s="147"/>
      <c r="J8" s="147"/>
      <c r="K8" s="114"/>
    </row>
    <row r="9" spans="2:11">
      <c r="B9" s="144"/>
      <c r="C9" s="155"/>
      <c r="D9" s="144"/>
      <c r="E9" s="144"/>
      <c r="F9" s="144"/>
      <c r="G9" s="144"/>
      <c r="H9" s="146"/>
      <c r="I9" s="147"/>
      <c r="J9" s="147"/>
      <c r="K9" s="114"/>
    </row>
    <row r="10" spans="2:11">
      <c r="B10" s="144"/>
      <c r="C10" s="155"/>
      <c r="D10" s="144"/>
      <c r="E10" s="144"/>
      <c r="F10" s="144"/>
      <c r="G10" s="144"/>
      <c r="H10" s="146"/>
      <c r="I10" s="147"/>
      <c r="J10" s="147"/>
      <c r="K10" s="114"/>
    </row>
    <row r="11" spans="2:11">
      <c r="B11" s="144"/>
      <c r="C11" s="155"/>
      <c r="D11" s="144"/>
      <c r="E11" s="144"/>
      <c r="F11" s="144"/>
      <c r="G11" s="144"/>
      <c r="H11" s="146"/>
      <c r="I11" s="147"/>
      <c r="J11" s="147"/>
      <c r="K11" s="114"/>
    </row>
    <row r="12" spans="2:11">
      <c r="B12" s="144"/>
      <c r="C12" s="155"/>
      <c r="D12" s="144"/>
      <c r="E12" s="144"/>
      <c r="F12" s="144"/>
      <c r="G12" s="144"/>
      <c r="H12" s="146"/>
      <c r="I12" s="147"/>
      <c r="J12" s="147"/>
      <c r="K12" s="114"/>
    </row>
    <row r="13" spans="2:11">
      <c r="B13" s="144"/>
      <c r="C13" s="155"/>
      <c r="D13" s="144"/>
      <c r="E13" s="144"/>
      <c r="F13" s="144"/>
      <c r="G13" s="144"/>
      <c r="H13" s="146"/>
      <c r="I13" s="147"/>
      <c r="J13" s="147"/>
      <c r="K13" s="114"/>
    </row>
    <row r="14" spans="2:11">
      <c r="B14" s="144"/>
      <c r="C14" s="150"/>
      <c r="D14" s="144"/>
      <c r="E14" s="144"/>
      <c r="F14" s="144"/>
      <c r="G14" s="144"/>
      <c r="H14" s="146"/>
      <c r="I14" s="147"/>
      <c r="J14" s="147"/>
      <c r="K14" s="114"/>
    </row>
    <row r="15" spans="2:11">
      <c r="B15" s="144"/>
      <c r="C15" s="150"/>
      <c r="D15" s="144"/>
      <c r="E15" s="144"/>
      <c r="F15" s="144"/>
      <c r="G15" s="144"/>
      <c r="H15" s="146"/>
      <c r="I15" s="147"/>
      <c r="J15" s="147"/>
      <c r="K15" s="114"/>
    </row>
    <row r="16" spans="2:11">
      <c r="B16" s="144"/>
      <c r="C16" s="145"/>
      <c r="D16" s="144"/>
      <c r="E16" s="144"/>
      <c r="F16" s="144"/>
      <c r="G16" s="144"/>
      <c r="H16" s="146"/>
      <c r="I16" s="147"/>
      <c r="J16" s="147"/>
      <c r="K16" s="114"/>
    </row>
    <row r="17" spans="2:11">
      <c r="B17" s="144"/>
      <c r="C17" s="145"/>
      <c r="D17" s="144"/>
      <c r="E17" s="144"/>
      <c r="F17" s="144"/>
      <c r="G17" s="144"/>
      <c r="H17" s="146"/>
      <c r="I17" s="148"/>
      <c r="J17" s="147"/>
      <c r="K17" s="114"/>
    </row>
    <row r="18" spans="2:11">
      <c r="B18" s="144"/>
      <c r="C18" s="144"/>
      <c r="D18" s="144"/>
      <c r="E18" s="144"/>
      <c r="F18" s="144"/>
      <c r="G18" s="144"/>
      <c r="H18" s="146"/>
      <c r="I18" s="147"/>
      <c r="J18" s="147"/>
      <c r="K18" s="114"/>
    </row>
    <row r="19" spans="2:11">
      <c r="B19" s="144"/>
      <c r="C19" s="144"/>
      <c r="D19" s="144"/>
      <c r="E19" s="144"/>
      <c r="F19" s="144"/>
      <c r="G19" s="144"/>
      <c r="H19" s="146"/>
      <c r="I19" s="147"/>
      <c r="J19" s="147"/>
      <c r="K19" s="114"/>
    </row>
    <row r="20" spans="2:11">
      <c r="B20" s="144"/>
      <c r="C20" s="144"/>
      <c r="D20" s="144"/>
      <c r="E20" s="144"/>
      <c r="F20" s="144"/>
      <c r="G20" s="144"/>
      <c r="H20" s="146"/>
      <c r="I20" s="147"/>
      <c r="J20" s="147"/>
      <c r="K20" s="114"/>
    </row>
    <row r="21" spans="2:11">
      <c r="B21" s="144"/>
      <c r="C21" s="144"/>
      <c r="D21" s="144"/>
      <c r="E21" s="144"/>
      <c r="F21" s="144"/>
      <c r="G21" s="144"/>
      <c r="H21" s="146"/>
      <c r="I21" s="147"/>
      <c r="J21" s="147"/>
      <c r="K21" s="114"/>
    </row>
    <row r="22" spans="2:11">
      <c r="B22" s="144"/>
      <c r="C22" s="145"/>
      <c r="D22" s="144"/>
      <c r="E22" s="144"/>
      <c r="F22" s="144"/>
      <c r="G22" s="144"/>
      <c r="H22" s="146"/>
      <c r="I22" s="147"/>
      <c r="J22" s="147"/>
      <c r="K22" s="114"/>
    </row>
    <row r="23" spans="2:11">
      <c r="B23" s="144"/>
      <c r="C23" s="144"/>
      <c r="D23" s="144"/>
      <c r="E23" s="144"/>
      <c r="F23" s="144"/>
      <c r="G23" s="144"/>
      <c r="H23" s="146"/>
      <c r="I23" s="147"/>
      <c r="J23" s="147"/>
      <c r="K23" s="114"/>
    </row>
    <row r="24" spans="2:11">
      <c r="B24" s="144"/>
      <c r="C24" s="144"/>
      <c r="D24" s="144"/>
      <c r="E24" s="144"/>
      <c r="F24" s="144"/>
      <c r="G24" s="144"/>
      <c r="H24" s="146"/>
      <c r="I24" s="147"/>
      <c r="J24" s="147"/>
      <c r="K24" s="114"/>
    </row>
    <row r="25" spans="2:11">
      <c r="B25" s="144"/>
      <c r="C25" s="144"/>
      <c r="D25" s="144"/>
      <c r="E25" s="144"/>
      <c r="F25" s="144"/>
      <c r="G25" s="144"/>
      <c r="H25" s="146"/>
      <c r="I25" s="147"/>
      <c r="J25" s="147"/>
      <c r="K25" s="114"/>
    </row>
    <row r="26" spans="2:11">
      <c r="B26" s="144"/>
      <c r="C26" s="144"/>
      <c r="D26" s="144"/>
      <c r="E26" s="144"/>
      <c r="F26" s="144"/>
      <c r="G26" s="144"/>
      <c r="H26" s="146"/>
      <c r="I26" s="147"/>
      <c r="J26" s="147"/>
      <c r="K26" s="114"/>
    </row>
    <row r="27" spans="2:11">
      <c r="B27" s="156"/>
      <c r="C27" s="156"/>
      <c r="D27" s="156"/>
      <c r="E27" s="156"/>
      <c r="F27" s="156"/>
      <c r="G27" s="156"/>
      <c r="H27" s="157"/>
      <c r="I27" s="158"/>
      <c r="J27" s="158"/>
    </row>
    <row r="28" spans="2:11">
      <c r="B28" s="156"/>
      <c r="C28" s="160"/>
      <c r="D28" s="156"/>
      <c r="E28" s="156"/>
      <c r="F28" s="156"/>
      <c r="G28" s="156"/>
      <c r="H28" s="159"/>
      <c r="I28" s="158"/>
      <c r="J28" s="158"/>
    </row>
    <row r="29" spans="2:11">
      <c r="B29" s="156"/>
      <c r="C29" s="161"/>
      <c r="D29" s="162"/>
      <c r="E29" s="156"/>
      <c r="F29" s="156"/>
      <c r="G29" s="156"/>
      <c r="H29" s="157"/>
      <c r="I29" s="158"/>
      <c r="J29" s="158"/>
    </row>
    <row r="30" spans="2:11">
      <c r="B30" s="156"/>
      <c r="C30" s="160"/>
      <c r="D30" s="156"/>
      <c r="E30" s="156"/>
      <c r="F30" s="156"/>
      <c r="G30" s="156"/>
      <c r="H30" s="157"/>
      <c r="I30" s="158"/>
      <c r="J30" s="158"/>
    </row>
    <row r="31" spans="2:11">
      <c r="B31" s="156"/>
      <c r="C31" s="160"/>
      <c r="D31" s="156"/>
      <c r="E31" s="156"/>
      <c r="F31" s="156"/>
      <c r="G31" s="156"/>
      <c r="H31" s="157"/>
      <c r="I31" s="158"/>
      <c r="J31" s="158"/>
    </row>
    <row r="32" spans="2:11">
      <c r="B32" s="156"/>
      <c r="C32" s="156"/>
      <c r="D32" s="156"/>
      <c r="E32" s="156"/>
      <c r="F32" s="156"/>
      <c r="G32" s="156"/>
      <c r="H32" s="157"/>
      <c r="I32" s="158"/>
      <c r="J32" s="158"/>
    </row>
    <row r="33" spans="2:10">
      <c r="B33" s="156"/>
      <c r="C33" s="160"/>
      <c r="D33" s="156"/>
      <c r="E33" s="156"/>
      <c r="F33" s="156"/>
      <c r="G33" s="156"/>
      <c r="H33" s="157"/>
      <c r="I33" s="158"/>
      <c r="J33" s="158"/>
    </row>
    <row r="34" spans="2:10">
      <c r="B34" s="156"/>
      <c r="C34" s="160"/>
      <c r="D34" s="156"/>
      <c r="E34" s="156"/>
      <c r="F34" s="156"/>
      <c r="G34" s="156"/>
      <c r="H34" s="157"/>
      <c r="I34" s="158"/>
      <c r="J34" s="158"/>
    </row>
    <row r="35" spans="2:10">
      <c r="B35" s="156"/>
      <c r="C35" s="160"/>
      <c r="D35" s="156"/>
      <c r="E35" s="156"/>
      <c r="F35" s="156"/>
      <c r="G35" s="156"/>
      <c r="H35" s="157"/>
      <c r="I35" s="158"/>
      <c r="J35" s="158"/>
    </row>
    <row r="36" spans="2:10">
      <c r="B36" s="156"/>
      <c r="C36" s="160"/>
      <c r="D36" s="156"/>
      <c r="E36" s="156"/>
      <c r="F36" s="156"/>
      <c r="G36" s="156"/>
      <c r="H36" s="157"/>
      <c r="I36" s="158"/>
      <c r="J36" s="158"/>
    </row>
    <row r="37" spans="2:10">
      <c r="B37" s="156"/>
      <c r="C37" s="160"/>
      <c r="D37" s="156"/>
      <c r="E37" s="156"/>
      <c r="F37" s="156"/>
      <c r="G37" s="156"/>
      <c r="H37" s="157"/>
      <c r="I37" s="158"/>
      <c r="J37" s="158"/>
    </row>
    <row r="38" spans="2:10">
      <c r="B38" s="156"/>
      <c r="C38" s="160"/>
      <c r="D38" s="156"/>
      <c r="E38" s="156"/>
      <c r="F38" s="156"/>
      <c r="G38" s="156"/>
      <c r="H38" s="157"/>
      <c r="I38" s="158"/>
      <c r="J38" s="158"/>
    </row>
    <row r="40" spans="2:10">
      <c r="H40" s="6"/>
    </row>
  </sheetData>
  <phoneticPr fontId="29"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718A1-F486-473D-A6A1-8678C01B8DE3}">
  <dimension ref="A1:E28"/>
  <sheetViews>
    <sheetView topLeftCell="A15" workbookViewId="0">
      <selection activeCell="D4" sqref="D4"/>
    </sheetView>
  </sheetViews>
  <sheetFormatPr defaultColWidth="30" defaultRowHeight="15" customHeight="1"/>
  <cols>
    <col min="1" max="1" width="26.5703125" bestFit="1" customWidth="1"/>
    <col min="2" max="2" width="19.42578125" bestFit="1" customWidth="1"/>
    <col min="3" max="3" width="19.42578125" customWidth="1"/>
    <col min="4" max="4" width="20" bestFit="1" customWidth="1"/>
    <col min="5" max="5" width="23.5703125" bestFit="1" customWidth="1"/>
  </cols>
  <sheetData>
    <row r="1" spans="1:5" s="103" customFormat="1" ht="23.1">
      <c r="A1" s="263" t="s">
        <v>1044</v>
      </c>
      <c r="B1" s="262" t="s">
        <v>1045</v>
      </c>
      <c r="C1" s="262" t="s">
        <v>1046</v>
      </c>
      <c r="D1" s="262" t="s">
        <v>1047</v>
      </c>
      <c r="E1" s="262" t="s">
        <v>1048</v>
      </c>
    </row>
    <row r="2" spans="1:5" ht="14.45">
      <c r="A2" s="104" t="s">
        <v>216</v>
      </c>
      <c r="B2" s="105" t="s">
        <v>1049</v>
      </c>
      <c r="C2" s="105"/>
      <c r="D2" s="106"/>
      <c r="E2" s="110"/>
    </row>
    <row r="3" spans="1:5" ht="14.45">
      <c r="A3" s="180" t="s">
        <v>217</v>
      </c>
      <c r="B3" s="110" t="s">
        <v>1050</v>
      </c>
      <c r="C3" s="110"/>
      <c r="D3" s="110"/>
      <c r="E3" s="110"/>
    </row>
    <row r="4" spans="1:5" ht="14.45">
      <c r="A4" s="181" t="s">
        <v>218</v>
      </c>
      <c r="B4" s="107" t="s">
        <v>1051</v>
      </c>
      <c r="C4" s="107"/>
      <c r="D4" s="110"/>
      <c r="E4" s="110"/>
    </row>
    <row r="5" spans="1:5" ht="14.45">
      <c r="A5" s="108" t="s">
        <v>123</v>
      </c>
      <c r="B5" s="110" t="s">
        <v>1052</v>
      </c>
      <c r="C5" s="110"/>
      <c r="D5" s="110"/>
      <c r="E5" s="110"/>
    </row>
    <row r="6" spans="1:5" ht="23.1">
      <c r="A6" s="182" t="s">
        <v>219</v>
      </c>
      <c r="B6" s="110" t="s">
        <v>1053</v>
      </c>
      <c r="C6" s="110"/>
      <c r="D6" s="110"/>
      <c r="E6" s="110"/>
    </row>
    <row r="7" spans="1:5" ht="14.45">
      <c r="A7" s="182" t="s">
        <v>220</v>
      </c>
      <c r="B7" s="110" t="s">
        <v>1049</v>
      </c>
      <c r="C7" s="110"/>
      <c r="D7" s="110"/>
      <c r="E7" s="110"/>
    </row>
    <row r="8" spans="1:5" ht="14.45">
      <c r="A8" s="182" t="s">
        <v>221</v>
      </c>
      <c r="B8" s="109" t="s">
        <v>1054</v>
      </c>
      <c r="C8" s="109"/>
      <c r="D8" s="110"/>
      <c r="E8" s="110"/>
    </row>
    <row r="9" spans="1:5" ht="14.45">
      <c r="A9" s="108" t="s">
        <v>222</v>
      </c>
      <c r="B9" s="109" t="s">
        <v>1054</v>
      </c>
      <c r="C9" s="111"/>
      <c r="D9" s="112"/>
      <c r="E9" s="111"/>
    </row>
    <row r="10" spans="1:5" ht="14.45">
      <c r="A10" s="108" t="s">
        <v>223</v>
      </c>
      <c r="B10" s="111" t="s">
        <v>1055</v>
      </c>
      <c r="C10" s="111"/>
      <c r="D10" s="112"/>
      <c r="E10" s="111"/>
    </row>
    <row r="11" spans="1:5" ht="14.45">
      <c r="A11" s="199" t="s">
        <v>224</v>
      </c>
      <c r="B11" s="112" t="s">
        <v>1056</v>
      </c>
      <c r="C11" s="112"/>
      <c r="D11" s="112"/>
      <c r="E11" s="111"/>
    </row>
    <row r="12" spans="1:5" ht="14.45">
      <c r="A12" s="199" t="s">
        <v>225</v>
      </c>
      <c r="B12" s="112" t="s">
        <v>1055</v>
      </c>
      <c r="C12" s="112"/>
      <c r="D12" s="112"/>
      <c r="E12" s="111"/>
    </row>
    <row r="13" spans="1:5" ht="14.45">
      <c r="A13" s="199" t="s">
        <v>226</v>
      </c>
      <c r="B13" s="112" t="s">
        <v>1055</v>
      </c>
      <c r="C13" s="112"/>
      <c r="D13" s="112"/>
      <c r="E13" s="111"/>
    </row>
    <row r="14" spans="1:5" ht="14.45">
      <c r="A14" s="199" t="s">
        <v>227</v>
      </c>
      <c r="B14" s="112" t="s">
        <v>1051</v>
      </c>
      <c r="C14" s="112"/>
      <c r="D14" s="112"/>
      <c r="E14" s="111"/>
    </row>
    <row r="15" spans="1:5" ht="14.45">
      <c r="A15" s="199" t="s">
        <v>228</v>
      </c>
      <c r="B15" s="112" t="s">
        <v>1057</v>
      </c>
      <c r="C15" s="112"/>
      <c r="D15" s="112"/>
      <c r="E15" s="111"/>
    </row>
    <row r="16" spans="1:5" ht="14.45">
      <c r="A16" s="199" t="s">
        <v>153</v>
      </c>
      <c r="B16" s="112" t="s">
        <v>1049</v>
      </c>
      <c r="C16" s="112"/>
      <c r="D16" s="112"/>
      <c r="E16" s="111"/>
    </row>
    <row r="17" spans="1:5" ht="14.45">
      <c r="A17" s="199" t="s">
        <v>229</v>
      </c>
      <c r="B17" s="112" t="s">
        <v>1055</v>
      </c>
      <c r="C17" s="112"/>
      <c r="D17" s="112"/>
      <c r="E17" s="111"/>
    </row>
    <row r="18" spans="1:5" ht="23.1">
      <c r="A18" s="199" t="s">
        <v>230</v>
      </c>
      <c r="B18" s="112" t="s">
        <v>1056</v>
      </c>
      <c r="C18" s="112"/>
      <c r="D18" s="112"/>
      <c r="E18" s="111"/>
    </row>
    <row r="19" spans="1:5" ht="23.1">
      <c r="A19" s="199" t="s">
        <v>231</v>
      </c>
      <c r="B19" s="112" t="s">
        <v>1052</v>
      </c>
      <c r="C19" s="112"/>
      <c r="D19" s="112"/>
      <c r="E19" s="111"/>
    </row>
    <row r="20" spans="1:5" ht="14.45">
      <c r="A20" s="199" t="s">
        <v>232</v>
      </c>
      <c r="B20" s="112" t="s">
        <v>1051</v>
      </c>
      <c r="C20" s="112"/>
      <c r="D20" s="112"/>
      <c r="E20" s="111"/>
    </row>
    <row r="21" spans="1:5" ht="14.45">
      <c r="A21" s="199" t="s">
        <v>233</v>
      </c>
      <c r="B21" s="112" t="s">
        <v>1056</v>
      </c>
      <c r="C21" s="112"/>
      <c r="D21" s="112"/>
      <c r="E21" s="111"/>
    </row>
    <row r="22" spans="1:5" ht="14.45">
      <c r="A22" s="199" t="s">
        <v>234</v>
      </c>
      <c r="B22" s="110" t="s">
        <v>1052</v>
      </c>
      <c r="C22" s="112"/>
      <c r="D22" s="112"/>
      <c r="E22" s="111"/>
    </row>
    <row r="23" spans="1:5" ht="23.1">
      <c r="A23" s="199" t="s">
        <v>235</v>
      </c>
      <c r="B23" s="112" t="s">
        <v>1058</v>
      </c>
      <c r="C23" s="112"/>
      <c r="D23" s="112"/>
      <c r="E23" s="111"/>
    </row>
    <row r="24" spans="1:5" ht="14.45">
      <c r="A24" s="199" t="s">
        <v>236</v>
      </c>
      <c r="B24" s="112" t="s">
        <v>1058</v>
      </c>
      <c r="C24" s="112"/>
      <c r="D24" s="112"/>
      <c r="E24" s="111"/>
    </row>
    <row r="25" spans="1:5" ht="23.1">
      <c r="A25" s="199" t="s">
        <v>237</v>
      </c>
      <c r="B25" s="112" t="s">
        <v>1058</v>
      </c>
      <c r="C25" s="112"/>
      <c r="D25" s="112"/>
      <c r="E25" s="111"/>
    </row>
    <row r="26" spans="1:5" ht="23.1">
      <c r="A26" s="199" t="s">
        <v>238</v>
      </c>
      <c r="B26" s="112" t="s">
        <v>1058</v>
      </c>
      <c r="C26" s="112"/>
      <c r="D26" s="112"/>
      <c r="E26" s="111"/>
    </row>
    <row r="27" spans="1:5" ht="14.45">
      <c r="A27" s="199" t="s">
        <v>239</v>
      </c>
      <c r="B27" s="112" t="s">
        <v>1058</v>
      </c>
      <c r="C27" s="112"/>
      <c r="D27" s="112"/>
      <c r="E27" s="111"/>
    </row>
    <row r="28" spans="1:5" ht="14.45">
      <c r="A28" s="199" t="s">
        <v>240</v>
      </c>
      <c r="B28" s="112" t="s">
        <v>1058</v>
      </c>
      <c r="C28" s="112"/>
      <c r="D28" s="112"/>
      <c r="E28" s="111"/>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308CA-EACB-48D5-B450-008089EEEDA8}">
  <sheetPr>
    <tabColor rgb="FF00B050"/>
  </sheetPr>
  <dimension ref="B2:C86"/>
  <sheetViews>
    <sheetView topLeftCell="A74" workbookViewId="0">
      <selection activeCell="D10" sqref="D10"/>
    </sheetView>
  </sheetViews>
  <sheetFormatPr defaultRowHeight="14.45"/>
  <cols>
    <col min="2" max="2" width="27" bestFit="1" customWidth="1"/>
    <col min="3" max="3" width="18.7109375" customWidth="1"/>
  </cols>
  <sheetData>
    <row r="2" spans="2:3">
      <c r="B2" s="87" t="s">
        <v>1059</v>
      </c>
      <c r="C2" s="88" t="s">
        <v>1060</v>
      </c>
    </row>
    <row r="3" spans="2:3">
      <c r="B3" s="123" t="s">
        <v>584</v>
      </c>
      <c r="C3" s="91" t="s">
        <v>1061</v>
      </c>
    </row>
    <row r="4" spans="2:3">
      <c r="B4" s="123" t="s">
        <v>738</v>
      </c>
      <c r="C4" s="91" t="s">
        <v>1062</v>
      </c>
    </row>
    <row r="5" spans="2:3">
      <c r="B5" s="123" t="s">
        <v>742</v>
      </c>
      <c r="C5" s="91" t="s">
        <v>1063</v>
      </c>
    </row>
    <row r="6" spans="2:3">
      <c r="B6" s="123" t="s">
        <v>54</v>
      </c>
      <c r="C6" s="91" t="s">
        <v>1064</v>
      </c>
    </row>
    <row r="7" spans="2:3">
      <c r="B7" s="123" t="s">
        <v>587</v>
      </c>
      <c r="C7" s="91" t="s">
        <v>1065</v>
      </c>
    </row>
    <row r="8" spans="2:3">
      <c r="B8" s="123" t="s">
        <v>593</v>
      </c>
      <c r="C8" s="91" t="s">
        <v>1066</v>
      </c>
    </row>
    <row r="9" spans="2:3">
      <c r="B9" s="122" t="s">
        <v>591</v>
      </c>
      <c r="C9" s="96" t="s">
        <v>1067</v>
      </c>
    </row>
    <row r="10" spans="2:3">
      <c r="B10" s="122" t="s">
        <v>781</v>
      </c>
      <c r="C10" s="96" t="s">
        <v>1068</v>
      </c>
    </row>
    <row r="11" spans="2:3">
      <c r="B11" s="122" t="s">
        <v>779</v>
      </c>
      <c r="C11" s="96" t="s">
        <v>1069</v>
      </c>
    </row>
    <row r="13" spans="2:3">
      <c r="B13" s="84" t="s">
        <v>1070</v>
      </c>
      <c r="C13" s="85" t="s">
        <v>1060</v>
      </c>
    </row>
    <row r="14" spans="2:3">
      <c r="B14" s="121" t="s">
        <v>613</v>
      </c>
      <c r="C14" s="67" t="s">
        <v>1071</v>
      </c>
    </row>
    <row r="15" spans="2:3">
      <c r="B15" s="121" t="s">
        <v>614</v>
      </c>
      <c r="C15" s="67" t="s">
        <v>1072</v>
      </c>
    </row>
    <row r="16" spans="2:3">
      <c r="B16" s="121" t="s">
        <v>618</v>
      </c>
      <c r="C16" s="67" t="s">
        <v>1073</v>
      </c>
    </row>
    <row r="17" spans="2:3">
      <c r="B17" s="121" t="s">
        <v>1074</v>
      </c>
      <c r="C17" s="67" t="s">
        <v>1075</v>
      </c>
    </row>
    <row r="18" spans="2:3">
      <c r="B18" s="121" t="s">
        <v>382</v>
      </c>
      <c r="C18" s="67" t="s">
        <v>1076</v>
      </c>
    </row>
    <row r="19" spans="2:3">
      <c r="B19" s="121" t="s">
        <v>619</v>
      </c>
      <c r="C19" s="67" t="s">
        <v>1077</v>
      </c>
    </row>
    <row r="21" spans="2:3">
      <c r="B21" s="95" t="s">
        <v>1078</v>
      </c>
      <c r="C21" s="95" t="s">
        <v>1060</v>
      </c>
    </row>
    <row r="22" spans="2:3">
      <c r="B22" s="121" t="s">
        <v>420</v>
      </c>
      <c r="C22" s="67" t="s">
        <v>1079</v>
      </c>
    </row>
    <row r="23" spans="2:3">
      <c r="B23" s="121" t="s">
        <v>628</v>
      </c>
      <c r="C23" s="67" t="s">
        <v>1080</v>
      </c>
    </row>
    <row r="25" spans="2:3">
      <c r="B25" s="92" t="s">
        <v>1081</v>
      </c>
      <c r="C25" s="86" t="s">
        <v>1060</v>
      </c>
    </row>
    <row r="26" spans="2:3">
      <c r="B26" s="95" t="s">
        <v>1082</v>
      </c>
      <c r="C26" s="67" t="s">
        <v>1083</v>
      </c>
    </row>
    <row r="27" spans="2:3">
      <c r="B27" s="95" t="s">
        <v>1084</v>
      </c>
      <c r="C27" s="67" t="s">
        <v>1085</v>
      </c>
    </row>
    <row r="28" spans="2:3">
      <c r="B28" s="95" t="s">
        <v>1086</v>
      </c>
      <c r="C28" s="67" t="s">
        <v>1087</v>
      </c>
    </row>
    <row r="29" spans="2:3">
      <c r="B29" s="67" t="s">
        <v>667</v>
      </c>
      <c r="C29" s="93" t="s">
        <v>1088</v>
      </c>
    </row>
    <row r="30" spans="2:3">
      <c r="B30" s="121" t="s">
        <v>721</v>
      </c>
      <c r="C30" s="67" t="s">
        <v>1089</v>
      </c>
    </row>
    <row r="31" spans="2:3">
      <c r="B31" s="121" t="s">
        <v>1090</v>
      </c>
      <c r="C31" s="67" t="s">
        <v>1091</v>
      </c>
    </row>
    <row r="32" spans="2:3">
      <c r="B32" s="67" t="s">
        <v>400</v>
      </c>
      <c r="C32" s="67" t="s">
        <v>1092</v>
      </c>
    </row>
    <row r="33" spans="2:3">
      <c r="B33" s="121" t="s">
        <v>1093</v>
      </c>
      <c r="C33" s="67" t="s">
        <v>1094</v>
      </c>
    </row>
    <row r="34" spans="2:3">
      <c r="B34" s="67" t="s">
        <v>1095</v>
      </c>
      <c r="C34" s="67" t="s">
        <v>1096</v>
      </c>
    </row>
    <row r="35" spans="2:3">
      <c r="B35" s="121" t="s">
        <v>1097</v>
      </c>
      <c r="C35" s="67" t="s">
        <v>1098</v>
      </c>
    </row>
    <row r="36" spans="2:3">
      <c r="B36" s="67" t="s">
        <v>1099</v>
      </c>
      <c r="C36" s="67" t="s">
        <v>1100</v>
      </c>
    </row>
    <row r="37" spans="2:3">
      <c r="B37" s="67" t="s">
        <v>1101</v>
      </c>
      <c r="C37" s="67" t="s">
        <v>1102</v>
      </c>
    </row>
    <row r="38" spans="2:3">
      <c r="B38" s="121" t="s">
        <v>1103</v>
      </c>
      <c r="C38" s="67" t="s">
        <v>1104</v>
      </c>
    </row>
    <row r="39" spans="2:3">
      <c r="B39" s="67" t="s">
        <v>1105</v>
      </c>
      <c r="C39" s="67" t="s">
        <v>1106</v>
      </c>
    </row>
    <row r="40" spans="2:3">
      <c r="B40" s="97" t="s">
        <v>680</v>
      </c>
      <c r="C40" s="97" t="s">
        <v>1107</v>
      </c>
    </row>
    <row r="41" spans="2:3">
      <c r="B41" s="98" t="s">
        <v>1108</v>
      </c>
      <c r="C41" s="98" t="s">
        <v>1109</v>
      </c>
    </row>
    <row r="42" spans="2:3">
      <c r="B42" s="121" t="s">
        <v>393</v>
      </c>
      <c r="C42" s="67" t="s">
        <v>1110</v>
      </c>
    </row>
    <row r="43" spans="2:3">
      <c r="B43" s="67" t="s">
        <v>1111</v>
      </c>
      <c r="C43" s="67" t="s">
        <v>1112</v>
      </c>
    </row>
    <row r="44" spans="2:3">
      <c r="B44" s="67" t="s">
        <v>727</v>
      </c>
      <c r="C44" s="94" t="s">
        <v>1113</v>
      </c>
    </row>
    <row r="45" spans="2:3">
      <c r="B45" s="67" t="s">
        <v>1114</v>
      </c>
      <c r="C45" s="94" t="s">
        <v>1115</v>
      </c>
    </row>
    <row r="46" spans="2:3">
      <c r="B46" s="67" t="s">
        <v>728</v>
      </c>
      <c r="C46" s="94" t="s">
        <v>1116</v>
      </c>
    </row>
    <row r="47" spans="2:3">
      <c r="B47" s="294" t="s">
        <v>620</v>
      </c>
      <c r="C47" s="94" t="s">
        <v>1117</v>
      </c>
    </row>
    <row r="48" spans="2:3">
      <c r="B48" s="287" t="s">
        <v>617</v>
      </c>
      <c r="C48" s="94" t="s">
        <v>1118</v>
      </c>
    </row>
    <row r="49" spans="2:3">
      <c r="B49" s="287" t="s">
        <v>1119</v>
      </c>
      <c r="C49" s="356" t="s">
        <v>1120</v>
      </c>
    </row>
    <row r="51" spans="2:3">
      <c r="B51" s="87" t="s">
        <v>1121</v>
      </c>
      <c r="C51" s="88" t="s">
        <v>1060</v>
      </c>
    </row>
    <row r="52" spans="2:3">
      <c r="B52" s="89" t="s">
        <v>50</v>
      </c>
      <c r="C52" s="90" t="s">
        <v>1122</v>
      </c>
    </row>
    <row r="53" spans="2:3">
      <c r="B53" s="89" t="s">
        <v>37</v>
      </c>
      <c r="C53" s="91" t="s">
        <v>1123</v>
      </c>
    </row>
    <row r="54" spans="2:3">
      <c r="B54" s="89" t="s">
        <v>21</v>
      </c>
      <c r="C54" s="91" t="s">
        <v>1124</v>
      </c>
    </row>
    <row r="55" spans="2:3">
      <c r="B55" s="89" t="s">
        <v>1125</v>
      </c>
      <c r="C55" s="67" t="s">
        <v>1126</v>
      </c>
    </row>
    <row r="56" spans="2:3">
      <c r="B56" s="89" t="s">
        <v>394</v>
      </c>
      <c r="C56" s="91" t="s">
        <v>1127</v>
      </c>
    </row>
    <row r="57" spans="2:3">
      <c r="B57" s="89" t="s">
        <v>1128</v>
      </c>
      <c r="C57" s="91" t="s">
        <v>1129</v>
      </c>
    </row>
    <row r="58" spans="2:3">
      <c r="B58" s="89" t="s">
        <v>1130</v>
      </c>
      <c r="C58" s="91" t="s">
        <v>1131</v>
      </c>
    </row>
    <row r="59" spans="2:3">
      <c r="B59" s="264" t="s">
        <v>1132</v>
      </c>
      <c r="C59" s="96" t="s">
        <v>1133</v>
      </c>
    </row>
    <row r="60" spans="2:3">
      <c r="B60" s="264" t="s">
        <v>1134</v>
      </c>
      <c r="C60" s="96" t="s">
        <v>1135</v>
      </c>
    </row>
    <row r="61" spans="2:3">
      <c r="B61" s="264" t="s">
        <v>1136</v>
      </c>
      <c r="C61" s="442" t="s">
        <v>1137</v>
      </c>
    </row>
    <row r="62" spans="2:3">
      <c r="B62" s="264" t="s">
        <v>1138</v>
      </c>
      <c r="C62" s="96" t="s">
        <v>1139</v>
      </c>
    </row>
    <row r="64" spans="2:3">
      <c r="B64" s="310" t="s">
        <v>1140</v>
      </c>
      <c r="C64" s="310" t="s">
        <v>1060</v>
      </c>
    </row>
    <row r="65" spans="2:3">
      <c r="B65" s="89" t="s">
        <v>1141</v>
      </c>
      <c r="C65" s="91" t="s">
        <v>1142</v>
      </c>
    </row>
    <row r="66" spans="2:3">
      <c r="B66" s="264" t="s">
        <v>1143</v>
      </c>
      <c r="C66" s="96" t="s">
        <v>1144</v>
      </c>
    </row>
    <row r="67" spans="2:3">
      <c r="B67" s="264" t="s">
        <v>1145</v>
      </c>
      <c r="C67" s="96" t="s">
        <v>1146</v>
      </c>
    </row>
    <row r="68" spans="2:3">
      <c r="B68" s="89" t="s">
        <v>787</v>
      </c>
      <c r="C68" s="91"/>
    </row>
    <row r="69" spans="2:3">
      <c r="B69" s="264" t="s">
        <v>789</v>
      </c>
      <c r="C69" s="89" t="s">
        <v>1147</v>
      </c>
    </row>
    <row r="70" spans="2:3">
      <c r="C70" s="264"/>
    </row>
    <row r="71" spans="2:3">
      <c r="B71" s="291" t="s">
        <v>1148</v>
      </c>
      <c r="C71" s="291" t="s">
        <v>1060</v>
      </c>
    </row>
    <row r="72" spans="2:3">
      <c r="B72" s="305" t="s">
        <v>732</v>
      </c>
      <c r="C72" s="292" t="s">
        <v>1149</v>
      </c>
    </row>
    <row r="73" spans="2:3">
      <c r="B73" s="306" t="s">
        <v>742</v>
      </c>
      <c r="C73" s="293" t="s">
        <v>1063</v>
      </c>
    </row>
    <row r="74" spans="2:3">
      <c r="B74" s="292" t="s">
        <v>771</v>
      </c>
      <c r="C74" s="303" t="s">
        <v>1150</v>
      </c>
    </row>
    <row r="75" spans="2:3">
      <c r="B75" s="306" t="s">
        <v>738</v>
      </c>
      <c r="C75" s="304" t="s">
        <v>1062</v>
      </c>
    </row>
    <row r="76" spans="2:3">
      <c r="B76" s="306" t="s">
        <v>754</v>
      </c>
      <c r="C76" s="66" t="s">
        <v>1151</v>
      </c>
    </row>
    <row r="77" spans="2:3">
      <c r="B77" s="305" t="s">
        <v>758</v>
      </c>
      <c r="C77" s="304" t="s">
        <v>1152</v>
      </c>
    </row>
    <row r="78" spans="2:3">
      <c r="B78" s="292" t="s">
        <v>1153</v>
      </c>
      <c r="C78" s="303" t="s">
        <v>1154</v>
      </c>
    </row>
    <row r="79" spans="2:3">
      <c r="B79" s="66" t="s">
        <v>1155</v>
      </c>
      <c r="C79" s="308" t="s">
        <v>1156</v>
      </c>
    </row>
    <row r="82" spans="2:3">
      <c r="B82" s="451" t="s">
        <v>1157</v>
      </c>
      <c r="C82" s="451" t="s">
        <v>1060</v>
      </c>
    </row>
    <row r="83" spans="2:3">
      <c r="B83" s="66" t="s">
        <v>724</v>
      </c>
      <c r="C83" s="452" t="s">
        <v>1158</v>
      </c>
    </row>
    <row r="84" spans="2:3">
      <c r="B84" s="66" t="s">
        <v>727</v>
      </c>
      <c r="C84" s="452" t="s">
        <v>1159</v>
      </c>
    </row>
    <row r="85" spans="2:3">
      <c r="B85" s="66" t="s">
        <v>728</v>
      </c>
      <c r="C85" s="452" t="s">
        <v>1160</v>
      </c>
    </row>
    <row r="86" spans="2:3">
      <c r="B86" s="66" t="s">
        <v>1161</v>
      </c>
      <c r="C86" s="452" t="s">
        <v>1162</v>
      </c>
    </row>
  </sheetData>
  <pageMargins left="0.7" right="0.7" top="0.75" bottom="0.75" header="0.3" footer="0.3"/>
  <tableParts count="6">
    <tablePart r:id="rId1"/>
    <tablePart r:id="rId2"/>
    <tablePart r:id="rId3"/>
    <tablePart r:id="rId4"/>
    <tablePart r:id="rId5"/>
    <tablePart r:id="rId6"/>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2DC20-37CA-4844-9EA6-D8BD7009E8AF}">
  <sheetPr>
    <tabColor rgb="FFFFC000"/>
    <outlinePr summaryRight="0"/>
  </sheetPr>
  <dimension ref="A1:AF30"/>
  <sheetViews>
    <sheetView zoomScale="80" zoomScaleNormal="80" workbookViewId="0">
      <pane xSplit="1" ySplit="3" topLeftCell="B16" activePane="bottomRight" state="frozen"/>
      <selection pane="bottomRight" activeCell="D8" sqref="D8"/>
      <selection pane="bottomLeft" activeCell="A5" sqref="A5"/>
      <selection pane="topRight" activeCell="B1" sqref="B1"/>
    </sheetView>
  </sheetViews>
  <sheetFormatPr defaultColWidth="36.7109375" defaultRowHeight="12" customHeight="1" outlineLevelCol="1"/>
  <cols>
    <col min="1" max="1" width="34.5703125" style="6" bestFit="1" customWidth="1"/>
    <col min="2" max="2" width="35.42578125" style="6" customWidth="1"/>
    <col min="3" max="3" width="16.42578125" style="6" customWidth="1" outlineLevel="1"/>
    <col min="4" max="4" width="60" style="283" customWidth="1" outlineLevel="1"/>
    <col min="5" max="5" width="37.28515625" style="6" customWidth="1"/>
    <col min="6" max="7" width="15" style="6" customWidth="1" outlineLevel="1"/>
    <col min="8" max="9" width="16.42578125" style="6" customWidth="1" outlineLevel="1"/>
    <col min="10" max="12" width="16.5703125" style="6" customWidth="1" outlineLevel="1"/>
    <col min="13" max="14" width="15.5703125" style="6" customWidth="1" outlineLevel="1"/>
    <col min="15" max="15" width="65.85546875" style="6" customWidth="1" outlineLevel="1"/>
    <col min="16" max="16" width="41.140625" style="6" customWidth="1"/>
    <col min="17" max="17" width="15" style="6" customWidth="1" outlineLevel="1"/>
    <col min="18" max="19" width="16.42578125" style="6" customWidth="1" outlineLevel="1"/>
    <col min="20" max="21" width="16.5703125" style="6" customWidth="1" outlineLevel="1"/>
    <col min="22" max="23" width="15.5703125" style="6" customWidth="1" outlineLevel="1"/>
    <col min="24" max="24" width="52.42578125" style="6" customWidth="1" outlineLevel="1"/>
    <col min="25" max="25" width="43.42578125" style="6" customWidth="1"/>
    <col min="26" max="26" width="21.42578125" style="6" customWidth="1" outlineLevel="1"/>
    <col min="27" max="27" width="18.28515625" style="6" customWidth="1" outlineLevel="1"/>
    <col min="28" max="28" width="16.42578125" style="6" customWidth="1" outlineLevel="1"/>
    <col min="29" max="29" width="13.5703125" style="6" bestFit="1" customWidth="1" outlineLevel="1"/>
    <col min="30" max="30" width="15.5703125" style="6" customWidth="1" outlineLevel="1"/>
    <col min="31" max="31" width="13.5703125" style="6" bestFit="1" customWidth="1" outlineLevel="1"/>
    <col min="32" max="32" width="48.28515625" style="6" customWidth="1" outlineLevel="1"/>
    <col min="33" max="16384" width="36.7109375" style="6"/>
  </cols>
  <sheetData>
    <row r="1" spans="1:32" ht="12" customHeight="1" thickBot="1">
      <c r="B1" s="432"/>
    </row>
    <row r="2" spans="1:32" ht="27" customHeight="1">
      <c r="A2" s="396"/>
      <c r="B2" s="500" t="s">
        <v>1163</v>
      </c>
      <c r="C2" s="501"/>
      <c r="D2" s="501"/>
      <c r="E2" s="500" t="s">
        <v>1163</v>
      </c>
      <c r="F2" s="501"/>
      <c r="G2" s="501"/>
      <c r="H2" s="501"/>
      <c r="I2" s="501"/>
      <c r="J2" s="501"/>
      <c r="K2" s="501"/>
      <c r="L2" s="501"/>
      <c r="M2" s="501"/>
      <c r="N2" s="501"/>
      <c r="O2" s="501"/>
      <c r="P2" s="500" t="s">
        <v>1163</v>
      </c>
      <c r="Q2" s="501"/>
      <c r="R2" s="501"/>
      <c r="S2" s="501"/>
      <c r="T2" s="501"/>
      <c r="U2" s="501"/>
      <c r="V2" s="501"/>
      <c r="W2" s="501"/>
      <c r="X2" s="501"/>
      <c r="Y2" s="500" t="s">
        <v>1163</v>
      </c>
      <c r="Z2" s="501"/>
      <c r="AA2" s="501"/>
      <c r="AB2" s="501"/>
      <c r="AC2" s="501"/>
      <c r="AD2" s="501"/>
      <c r="AE2" s="501"/>
      <c r="AF2" s="501"/>
    </row>
    <row r="3" spans="1:32" ht="16.5" customHeight="1">
      <c r="A3" s="395" t="s">
        <v>1164</v>
      </c>
      <c r="B3" s="405">
        <v>45984</v>
      </c>
      <c r="C3" s="405"/>
      <c r="D3" s="399"/>
      <c r="E3" s="405">
        <v>45985</v>
      </c>
      <c r="F3" s="394"/>
      <c r="G3" s="394"/>
      <c r="H3" s="394"/>
      <c r="I3" s="394"/>
      <c r="J3" s="394"/>
      <c r="K3" s="394"/>
      <c r="L3" s="394"/>
      <c r="M3" s="394"/>
      <c r="N3" s="394"/>
      <c r="O3" s="394"/>
      <c r="P3" s="405">
        <v>45986</v>
      </c>
      <c r="Q3" s="394"/>
      <c r="R3" s="394"/>
      <c r="S3" s="394"/>
      <c r="T3" s="394"/>
      <c r="U3" s="394"/>
      <c r="V3" s="394"/>
      <c r="W3" s="394"/>
      <c r="X3" s="394"/>
      <c r="Y3" s="405">
        <v>45987</v>
      </c>
      <c r="Z3" s="394"/>
      <c r="AA3" s="394"/>
      <c r="AB3" s="394"/>
      <c r="AC3" s="394"/>
      <c r="AD3" s="394"/>
      <c r="AE3" s="394"/>
      <c r="AF3" s="394"/>
    </row>
    <row r="4" spans="1:32" s="406" customFormat="1" ht="36.75" customHeight="1">
      <c r="A4" s="406" t="s">
        <v>1165</v>
      </c>
      <c r="B4" s="407" t="s">
        <v>1166</v>
      </c>
      <c r="C4" s="406" t="s">
        <v>1167</v>
      </c>
      <c r="D4" s="406" t="s">
        <v>1168</v>
      </c>
      <c r="E4" s="407" t="s">
        <v>1169</v>
      </c>
      <c r="F4" s="468" t="s">
        <v>1170</v>
      </c>
      <c r="G4" s="468" t="s">
        <v>1171</v>
      </c>
      <c r="H4" s="468" t="s">
        <v>1172</v>
      </c>
      <c r="I4" s="468" t="s">
        <v>1173</v>
      </c>
      <c r="J4" s="468" t="s">
        <v>1174</v>
      </c>
      <c r="K4" s="468" t="s">
        <v>1175</v>
      </c>
      <c r="L4" s="468" t="s">
        <v>1176</v>
      </c>
      <c r="M4" s="468" t="s">
        <v>1177</v>
      </c>
      <c r="N4" s="468" t="s">
        <v>1178</v>
      </c>
      <c r="O4" s="406" t="s">
        <v>1179</v>
      </c>
      <c r="P4" s="407" t="s">
        <v>1169</v>
      </c>
      <c r="Q4" s="468" t="s">
        <v>1170</v>
      </c>
      <c r="R4" s="468" t="s">
        <v>1172</v>
      </c>
      <c r="S4" s="468" t="s">
        <v>1173</v>
      </c>
      <c r="T4" s="468" t="s">
        <v>1174</v>
      </c>
      <c r="U4" s="468" t="s">
        <v>1176</v>
      </c>
      <c r="V4" s="468" t="s">
        <v>1177</v>
      </c>
      <c r="W4" s="468" t="s">
        <v>1178</v>
      </c>
      <c r="X4" s="406" t="s">
        <v>1180</v>
      </c>
      <c r="Y4" s="407" t="s">
        <v>1169</v>
      </c>
      <c r="Z4" s="406" t="s">
        <v>1171</v>
      </c>
      <c r="AA4" s="406" t="s">
        <v>1172</v>
      </c>
      <c r="AB4" s="406" t="s">
        <v>1173</v>
      </c>
      <c r="AC4" s="406" t="s">
        <v>1174</v>
      </c>
      <c r="AD4" s="406" t="s">
        <v>1181</v>
      </c>
      <c r="AE4" s="406" t="s">
        <v>1177</v>
      </c>
      <c r="AF4" s="406" t="s">
        <v>1182</v>
      </c>
    </row>
    <row r="5" spans="1:32" ht="12" customHeight="1">
      <c r="A5" s="385" t="s">
        <v>254</v>
      </c>
      <c r="B5" s="197" t="s">
        <v>1183</v>
      </c>
      <c r="C5" s="197" t="s">
        <v>1183</v>
      </c>
      <c r="D5" s="163"/>
      <c r="E5" s="197" t="s">
        <v>1183</v>
      </c>
      <c r="F5" s="197" t="s">
        <v>1183</v>
      </c>
      <c r="G5" s="197" t="s">
        <v>1183</v>
      </c>
      <c r="H5" s="197" t="s">
        <v>1183</v>
      </c>
      <c r="I5" s="197" t="s">
        <v>1183</v>
      </c>
      <c r="J5" s="197" t="s">
        <v>1183</v>
      </c>
      <c r="K5" s="197" t="s">
        <v>1183</v>
      </c>
      <c r="L5" s="197" t="s">
        <v>1183</v>
      </c>
      <c r="M5" s="197" t="s">
        <v>1183</v>
      </c>
      <c r="N5" s="197" t="s">
        <v>1183</v>
      </c>
      <c r="O5" s="274"/>
      <c r="P5" s="197" t="s">
        <v>1183</v>
      </c>
      <c r="Q5" s="197" t="s">
        <v>1183</v>
      </c>
      <c r="R5" s="197" t="s">
        <v>1183</v>
      </c>
      <c r="S5" s="197" t="s">
        <v>1183</v>
      </c>
      <c r="T5" s="197" t="s">
        <v>1183</v>
      </c>
      <c r="U5" s="197" t="s">
        <v>1183</v>
      </c>
      <c r="V5" s="197" t="s">
        <v>1183</v>
      </c>
      <c r="W5" s="197" t="s">
        <v>1183</v>
      </c>
      <c r="X5" s="197"/>
      <c r="Y5" s="197" t="s">
        <v>1183</v>
      </c>
      <c r="Z5" s="197" t="s">
        <v>1183</v>
      </c>
      <c r="AA5" s="197" t="s">
        <v>1183</v>
      </c>
      <c r="AB5" s="197" t="s">
        <v>1183</v>
      </c>
      <c r="AC5" s="197" t="s">
        <v>1183</v>
      </c>
      <c r="AD5" s="197" t="s">
        <v>1183</v>
      </c>
      <c r="AE5" s="197" t="s">
        <v>1183</v>
      </c>
      <c r="AF5" s="197"/>
    </row>
    <row r="6" spans="1:32" s="114" customFormat="1" ht="45.75" customHeight="1">
      <c r="A6" s="385" t="s">
        <v>217</v>
      </c>
      <c r="B6" s="197" t="s">
        <v>1183</v>
      </c>
      <c r="C6" s="197" t="s">
        <v>1183</v>
      </c>
      <c r="D6" s="163"/>
      <c r="E6" s="197" t="s">
        <v>1183</v>
      </c>
      <c r="F6" s="197" t="s">
        <v>1183</v>
      </c>
      <c r="G6" s="197" t="s">
        <v>1183</v>
      </c>
      <c r="H6" s="197" t="s">
        <v>1183</v>
      </c>
      <c r="I6" s="197" t="s">
        <v>1183</v>
      </c>
      <c r="J6" s="197" t="s">
        <v>1183</v>
      </c>
      <c r="K6" s="197" t="s">
        <v>1183</v>
      </c>
      <c r="L6" s="197" t="s">
        <v>1183</v>
      </c>
      <c r="M6" s="197" t="s">
        <v>1183</v>
      </c>
      <c r="N6" s="197" t="s">
        <v>1183</v>
      </c>
      <c r="O6" s="274"/>
      <c r="P6" s="197" t="s">
        <v>1183</v>
      </c>
      <c r="Q6" s="197" t="s">
        <v>1183</v>
      </c>
      <c r="R6" s="197" t="s">
        <v>1183</v>
      </c>
      <c r="S6" s="197" t="s">
        <v>1183</v>
      </c>
      <c r="T6" s="197" t="s">
        <v>1183</v>
      </c>
      <c r="U6" s="197" t="s">
        <v>1183</v>
      </c>
      <c r="V6" s="197" t="s">
        <v>1183</v>
      </c>
      <c r="W6" s="197" t="s">
        <v>1183</v>
      </c>
      <c r="X6" s="197"/>
      <c r="Y6" s="197" t="s">
        <v>1183</v>
      </c>
      <c r="Z6" s="197" t="s">
        <v>1183</v>
      </c>
      <c r="AA6" s="197" t="s">
        <v>1183</v>
      </c>
      <c r="AB6" s="197" t="s">
        <v>1183</v>
      </c>
      <c r="AC6" s="197" t="s">
        <v>1183</v>
      </c>
      <c r="AD6" s="197" t="s">
        <v>1183</v>
      </c>
      <c r="AE6" s="197" t="s">
        <v>1183</v>
      </c>
      <c r="AF6" s="198"/>
    </row>
    <row r="7" spans="1:32" ht="12" customHeight="1">
      <c r="A7" s="385" t="s">
        <v>271</v>
      </c>
      <c r="B7" s="197" t="s">
        <v>1183</v>
      </c>
      <c r="C7" s="197" t="s">
        <v>1183</v>
      </c>
      <c r="D7" s="163"/>
      <c r="E7" s="197" t="s">
        <v>1183</v>
      </c>
      <c r="F7" s="197" t="s">
        <v>1183</v>
      </c>
      <c r="G7" s="197" t="s">
        <v>1183</v>
      </c>
      <c r="H7" s="197" t="s">
        <v>1183</v>
      </c>
      <c r="I7" s="197" t="s">
        <v>1183</v>
      </c>
      <c r="J7" s="197" t="s">
        <v>1183</v>
      </c>
      <c r="K7" s="197" t="s">
        <v>1183</v>
      </c>
      <c r="L7" s="197" t="s">
        <v>1183</v>
      </c>
      <c r="M7" s="197" t="s">
        <v>1183</v>
      </c>
      <c r="N7" s="197" t="s">
        <v>1183</v>
      </c>
      <c r="O7" s="274"/>
      <c r="P7" s="197" t="s">
        <v>1183</v>
      </c>
      <c r="Q7" s="197" t="s">
        <v>1183</v>
      </c>
      <c r="R7" s="197" t="s">
        <v>1183</v>
      </c>
      <c r="S7" s="197" t="s">
        <v>1183</v>
      </c>
      <c r="T7" s="197" t="s">
        <v>1183</v>
      </c>
      <c r="U7" s="197" t="s">
        <v>1183</v>
      </c>
      <c r="V7" s="197" t="s">
        <v>1183</v>
      </c>
      <c r="W7" s="197" t="s">
        <v>1183</v>
      </c>
      <c r="X7" s="197"/>
      <c r="Y7" s="197" t="s">
        <v>1183</v>
      </c>
      <c r="Z7" s="197" t="s">
        <v>1183</v>
      </c>
      <c r="AA7" s="197" t="s">
        <v>1183</v>
      </c>
      <c r="AB7" s="197" t="s">
        <v>1183</v>
      </c>
      <c r="AC7" s="197" t="s">
        <v>1183</v>
      </c>
      <c r="AD7" s="197" t="s">
        <v>1183</v>
      </c>
      <c r="AE7" s="197" t="s">
        <v>1183</v>
      </c>
      <c r="AF7" s="197"/>
    </row>
    <row r="8" spans="1:32" ht="24.75" customHeight="1">
      <c r="A8" s="385" t="s">
        <v>218</v>
      </c>
      <c r="B8" s="197" t="s">
        <v>1183</v>
      </c>
      <c r="C8" s="197" t="s">
        <v>1183</v>
      </c>
      <c r="D8" s="163"/>
      <c r="E8" s="197" t="s">
        <v>1183</v>
      </c>
      <c r="F8" s="197" t="s">
        <v>1183</v>
      </c>
      <c r="G8" s="197" t="s">
        <v>1183</v>
      </c>
      <c r="H8" s="197" t="s">
        <v>1183</v>
      </c>
      <c r="I8" s="197" t="s">
        <v>1183</v>
      </c>
      <c r="J8" s="197" t="s">
        <v>1183</v>
      </c>
      <c r="K8" s="197" t="s">
        <v>1183</v>
      </c>
      <c r="L8" s="197" t="s">
        <v>1183</v>
      </c>
      <c r="M8" s="197" t="s">
        <v>1183</v>
      </c>
      <c r="N8" s="197" t="s">
        <v>1183</v>
      </c>
      <c r="O8" s="274"/>
      <c r="P8" s="197" t="s">
        <v>1183</v>
      </c>
      <c r="Q8" s="197" t="s">
        <v>1183</v>
      </c>
      <c r="R8" s="197" t="s">
        <v>1183</v>
      </c>
      <c r="S8" s="197" t="s">
        <v>1183</v>
      </c>
      <c r="T8" s="197" t="s">
        <v>1183</v>
      </c>
      <c r="U8" s="197" t="s">
        <v>1183</v>
      </c>
      <c r="V8" s="197" t="s">
        <v>1183</v>
      </c>
      <c r="W8" s="197" t="s">
        <v>1183</v>
      </c>
      <c r="X8" s="274"/>
      <c r="Y8" s="197" t="s">
        <v>1183</v>
      </c>
      <c r="Z8" s="197" t="s">
        <v>1183</v>
      </c>
      <c r="AA8" s="197" t="s">
        <v>1183</v>
      </c>
      <c r="AB8" s="197" t="s">
        <v>1183</v>
      </c>
      <c r="AC8" s="197" t="s">
        <v>1183</v>
      </c>
      <c r="AD8" s="197" t="s">
        <v>1183</v>
      </c>
      <c r="AE8" s="197" t="s">
        <v>1183</v>
      </c>
      <c r="AF8" s="274"/>
    </row>
    <row r="9" spans="1:32" ht="12" customHeight="1">
      <c r="A9" s="385" t="s">
        <v>287</v>
      </c>
      <c r="B9" s="197" t="s">
        <v>1183</v>
      </c>
      <c r="C9" s="197" t="s">
        <v>1183</v>
      </c>
      <c r="D9" s="163"/>
      <c r="E9" s="197" t="s">
        <v>1183</v>
      </c>
      <c r="F9" s="197" t="s">
        <v>1183</v>
      </c>
      <c r="G9" s="197" t="s">
        <v>1183</v>
      </c>
      <c r="H9" s="197" t="s">
        <v>1183</v>
      </c>
      <c r="I9" s="197" t="s">
        <v>1183</v>
      </c>
      <c r="J9" s="197" t="s">
        <v>1183</v>
      </c>
      <c r="K9" s="197" t="s">
        <v>1183</v>
      </c>
      <c r="L9" s="197" t="s">
        <v>1183</v>
      </c>
      <c r="M9" s="197" t="s">
        <v>1183</v>
      </c>
      <c r="N9" s="197" t="s">
        <v>1183</v>
      </c>
      <c r="O9" s="274"/>
      <c r="P9" s="197" t="s">
        <v>1183</v>
      </c>
      <c r="Q9" s="197" t="s">
        <v>1183</v>
      </c>
      <c r="R9" s="197" t="s">
        <v>1183</v>
      </c>
      <c r="S9" s="197" t="s">
        <v>1183</v>
      </c>
      <c r="T9" s="197" t="s">
        <v>1183</v>
      </c>
      <c r="U9" s="197" t="s">
        <v>1183</v>
      </c>
      <c r="V9" s="197" t="s">
        <v>1183</v>
      </c>
      <c r="W9" s="197" t="s">
        <v>1183</v>
      </c>
      <c r="X9" s="197"/>
      <c r="Y9" s="197" t="s">
        <v>1183</v>
      </c>
      <c r="Z9" s="197" t="s">
        <v>1183</v>
      </c>
      <c r="AA9" s="197" t="s">
        <v>1183</v>
      </c>
      <c r="AB9" s="197" t="s">
        <v>1183</v>
      </c>
      <c r="AC9" s="197" t="s">
        <v>1183</v>
      </c>
      <c r="AD9" s="197" t="s">
        <v>1183</v>
      </c>
      <c r="AE9" s="197" t="s">
        <v>1183</v>
      </c>
      <c r="AF9" s="197"/>
    </row>
    <row r="10" spans="1:32" ht="12" customHeight="1">
      <c r="A10" s="385" t="s">
        <v>291</v>
      </c>
      <c r="B10" s="197" t="s">
        <v>1183</v>
      </c>
      <c r="C10" s="197" t="s">
        <v>1183</v>
      </c>
      <c r="D10" s="163"/>
      <c r="E10" s="197" t="s">
        <v>1183</v>
      </c>
      <c r="F10" s="197" t="s">
        <v>1183</v>
      </c>
      <c r="G10" s="197" t="s">
        <v>1183</v>
      </c>
      <c r="H10" s="197" t="s">
        <v>1183</v>
      </c>
      <c r="I10" s="197" t="s">
        <v>1183</v>
      </c>
      <c r="J10" s="197" t="s">
        <v>1183</v>
      </c>
      <c r="K10" s="197" t="s">
        <v>1183</v>
      </c>
      <c r="L10" s="197" t="s">
        <v>1183</v>
      </c>
      <c r="M10" s="197" t="s">
        <v>1183</v>
      </c>
      <c r="N10" s="197" t="s">
        <v>1183</v>
      </c>
      <c r="O10" s="274"/>
      <c r="P10" s="197" t="s">
        <v>1183</v>
      </c>
      <c r="Q10" s="197" t="s">
        <v>1183</v>
      </c>
      <c r="R10" s="197" t="s">
        <v>1183</v>
      </c>
      <c r="S10" s="197" t="s">
        <v>1183</v>
      </c>
      <c r="T10" s="197" t="s">
        <v>1183</v>
      </c>
      <c r="U10" s="197" t="s">
        <v>1183</v>
      </c>
      <c r="V10" s="197" t="s">
        <v>1183</v>
      </c>
      <c r="W10" s="197" t="s">
        <v>1183</v>
      </c>
      <c r="X10" s="274"/>
      <c r="Y10" s="197" t="s">
        <v>1183</v>
      </c>
      <c r="Z10" s="197" t="s">
        <v>1183</v>
      </c>
      <c r="AA10" s="197" t="s">
        <v>1183</v>
      </c>
      <c r="AB10" s="197" t="s">
        <v>1183</v>
      </c>
      <c r="AC10" s="197" t="s">
        <v>1183</v>
      </c>
      <c r="AD10" s="197" t="s">
        <v>1183</v>
      </c>
      <c r="AE10" s="197" t="s">
        <v>1183</v>
      </c>
      <c r="AF10" s="197"/>
    </row>
    <row r="11" spans="1:32" ht="12" customHeight="1">
      <c r="A11" s="385" t="s">
        <v>227</v>
      </c>
      <c r="B11" s="197" t="s">
        <v>1183</v>
      </c>
      <c r="C11" s="197" t="s">
        <v>1183</v>
      </c>
      <c r="D11" s="163"/>
      <c r="E11" s="197" t="s">
        <v>1183</v>
      </c>
      <c r="F11" s="197" t="s">
        <v>1183</v>
      </c>
      <c r="G11" s="197" t="s">
        <v>1183</v>
      </c>
      <c r="H11" s="197" t="s">
        <v>1183</v>
      </c>
      <c r="I11" s="197" t="s">
        <v>1183</v>
      </c>
      <c r="J11" s="197" t="s">
        <v>1183</v>
      </c>
      <c r="K11" s="197" t="s">
        <v>1183</v>
      </c>
      <c r="L11" s="197" t="s">
        <v>1183</v>
      </c>
      <c r="M11" s="197" t="s">
        <v>1183</v>
      </c>
      <c r="N11" s="197" t="s">
        <v>1183</v>
      </c>
      <c r="O11" s="274"/>
      <c r="P11" s="197" t="s">
        <v>1183</v>
      </c>
      <c r="Q11" s="197" t="s">
        <v>1183</v>
      </c>
      <c r="R11" s="197" t="s">
        <v>1183</v>
      </c>
      <c r="S11" s="197" t="s">
        <v>1183</v>
      </c>
      <c r="T11" s="197" t="s">
        <v>1183</v>
      </c>
      <c r="U11" s="197" t="s">
        <v>1183</v>
      </c>
      <c r="V11" s="197" t="s">
        <v>1183</v>
      </c>
      <c r="W11" s="197" t="s">
        <v>1183</v>
      </c>
      <c r="X11" s="274"/>
      <c r="Y11" s="197" t="s">
        <v>1183</v>
      </c>
      <c r="Z11" s="197" t="s">
        <v>1183</v>
      </c>
      <c r="AA11" s="197" t="s">
        <v>1183</v>
      </c>
      <c r="AB11" s="197" t="s">
        <v>1183</v>
      </c>
      <c r="AC11" s="197" t="s">
        <v>1183</v>
      </c>
      <c r="AD11" s="197" t="s">
        <v>1183</v>
      </c>
      <c r="AE11" s="197" t="s">
        <v>1183</v>
      </c>
      <c r="AF11" s="197"/>
    </row>
    <row r="12" spans="1:32" ht="12" customHeight="1">
      <c r="A12" s="385" t="s">
        <v>302</v>
      </c>
      <c r="B12" s="197" t="s">
        <v>1183</v>
      </c>
      <c r="C12" s="197" t="s">
        <v>1183</v>
      </c>
      <c r="D12" s="163"/>
      <c r="E12" s="197" t="s">
        <v>1183</v>
      </c>
      <c r="F12" s="197" t="s">
        <v>1183</v>
      </c>
      <c r="G12" s="197" t="s">
        <v>1183</v>
      </c>
      <c r="H12" s="197" t="s">
        <v>1183</v>
      </c>
      <c r="I12" s="197" t="s">
        <v>1183</v>
      </c>
      <c r="J12" s="197" t="s">
        <v>1183</v>
      </c>
      <c r="K12" s="197" t="s">
        <v>1183</v>
      </c>
      <c r="L12" s="197" t="s">
        <v>1183</v>
      </c>
      <c r="M12" s="197" t="s">
        <v>1183</v>
      </c>
      <c r="N12" s="197" t="s">
        <v>1183</v>
      </c>
      <c r="O12" s="274"/>
      <c r="P12" s="197" t="s">
        <v>1183</v>
      </c>
      <c r="Q12" s="197" t="s">
        <v>1183</v>
      </c>
      <c r="R12" s="197" t="s">
        <v>1183</v>
      </c>
      <c r="S12" s="197" t="s">
        <v>1183</v>
      </c>
      <c r="T12" s="197" t="s">
        <v>1183</v>
      </c>
      <c r="U12" s="197" t="s">
        <v>1183</v>
      </c>
      <c r="V12" s="197" t="s">
        <v>1183</v>
      </c>
      <c r="W12" s="197" t="s">
        <v>1183</v>
      </c>
      <c r="X12" s="274"/>
      <c r="Y12" s="197" t="s">
        <v>1183</v>
      </c>
      <c r="Z12" s="197" t="s">
        <v>1183</v>
      </c>
      <c r="AA12" s="197" t="s">
        <v>1183</v>
      </c>
      <c r="AB12" s="197" t="s">
        <v>1183</v>
      </c>
      <c r="AC12" s="197" t="s">
        <v>1183</v>
      </c>
      <c r="AD12" s="197" t="s">
        <v>1183</v>
      </c>
      <c r="AE12" s="197" t="s">
        <v>1183</v>
      </c>
      <c r="AF12" s="197"/>
    </row>
    <row r="13" spans="1:32" ht="12" customHeight="1">
      <c r="A13" s="385" t="s">
        <v>224</v>
      </c>
      <c r="B13" s="197" t="s">
        <v>1183</v>
      </c>
      <c r="C13" s="197" t="s">
        <v>1183</v>
      </c>
      <c r="E13" s="197" t="s">
        <v>1183</v>
      </c>
      <c r="F13" s="197" t="s">
        <v>1183</v>
      </c>
      <c r="G13" s="197" t="s">
        <v>1183</v>
      </c>
      <c r="H13" s="197" t="s">
        <v>1183</v>
      </c>
      <c r="I13" s="197" t="s">
        <v>1183</v>
      </c>
      <c r="J13" s="197" t="s">
        <v>1183</v>
      </c>
      <c r="K13" s="197" t="s">
        <v>1183</v>
      </c>
      <c r="L13" s="197" t="s">
        <v>1183</v>
      </c>
      <c r="M13" s="197" t="s">
        <v>1183</v>
      </c>
      <c r="N13" s="197" t="s">
        <v>1183</v>
      </c>
      <c r="O13" s="274"/>
      <c r="P13" s="197" t="s">
        <v>1183</v>
      </c>
      <c r="Q13" s="197" t="s">
        <v>1183</v>
      </c>
      <c r="R13" s="197" t="s">
        <v>1183</v>
      </c>
      <c r="S13" s="197" t="s">
        <v>1183</v>
      </c>
      <c r="T13" s="197" t="s">
        <v>1183</v>
      </c>
      <c r="U13" s="197" t="s">
        <v>1183</v>
      </c>
      <c r="V13" s="197" t="s">
        <v>1183</v>
      </c>
      <c r="W13" s="197" t="s">
        <v>1183</v>
      </c>
      <c r="X13" s="274"/>
      <c r="Y13" s="197" t="s">
        <v>1183</v>
      </c>
      <c r="Z13" s="197" t="s">
        <v>1183</v>
      </c>
      <c r="AA13" s="197" t="s">
        <v>1183</v>
      </c>
      <c r="AB13" s="197" t="s">
        <v>1183</v>
      </c>
      <c r="AC13" s="197" t="s">
        <v>1183</v>
      </c>
      <c r="AD13" s="197" t="s">
        <v>1183</v>
      </c>
      <c r="AE13" s="197" t="s">
        <v>1183</v>
      </c>
      <c r="AF13" s="197"/>
    </row>
    <row r="14" spans="1:32" ht="12" customHeight="1">
      <c r="A14" s="385" t="s">
        <v>311</v>
      </c>
      <c r="B14" s="197" t="s">
        <v>1183</v>
      </c>
      <c r="C14" s="197" t="s">
        <v>1183</v>
      </c>
      <c r="D14" s="163"/>
      <c r="E14" s="197" t="s">
        <v>1183</v>
      </c>
      <c r="F14" s="197" t="s">
        <v>1183</v>
      </c>
      <c r="G14" s="197" t="s">
        <v>1183</v>
      </c>
      <c r="H14" s="197" t="s">
        <v>1183</v>
      </c>
      <c r="I14" s="197" t="s">
        <v>1183</v>
      </c>
      <c r="J14" s="197" t="s">
        <v>1183</v>
      </c>
      <c r="K14" s="197" t="s">
        <v>1183</v>
      </c>
      <c r="L14" s="197" t="s">
        <v>1183</v>
      </c>
      <c r="M14" s="197" t="s">
        <v>1183</v>
      </c>
      <c r="N14" s="197" t="s">
        <v>1183</v>
      </c>
      <c r="O14" s="274"/>
      <c r="P14" s="197" t="s">
        <v>1183</v>
      </c>
      <c r="Q14" s="197" t="s">
        <v>1183</v>
      </c>
      <c r="R14" s="197" t="s">
        <v>1183</v>
      </c>
      <c r="S14" s="197" t="s">
        <v>1183</v>
      </c>
      <c r="T14" s="197" t="s">
        <v>1183</v>
      </c>
      <c r="U14" s="197" t="s">
        <v>1183</v>
      </c>
      <c r="V14" s="197" t="s">
        <v>1183</v>
      </c>
      <c r="W14" s="197" t="s">
        <v>1183</v>
      </c>
      <c r="X14" s="274"/>
      <c r="Y14" s="197" t="s">
        <v>1183</v>
      </c>
      <c r="Z14" s="197" t="s">
        <v>1183</v>
      </c>
      <c r="AA14" s="197" t="s">
        <v>1183</v>
      </c>
      <c r="AB14" s="197" t="s">
        <v>1183</v>
      </c>
      <c r="AC14" s="197" t="s">
        <v>1183</v>
      </c>
      <c r="AD14" s="197" t="s">
        <v>1183</v>
      </c>
      <c r="AE14" s="197" t="s">
        <v>1183</v>
      </c>
      <c r="AF14" s="274"/>
    </row>
    <row r="15" spans="1:32" ht="12" customHeight="1">
      <c r="A15" s="385" t="s">
        <v>228</v>
      </c>
      <c r="B15" s="197" t="s">
        <v>1183</v>
      </c>
      <c r="C15" s="197" t="s">
        <v>1183</v>
      </c>
      <c r="D15" s="163"/>
      <c r="E15" s="197" t="s">
        <v>1183</v>
      </c>
      <c r="F15" s="197" t="s">
        <v>1183</v>
      </c>
      <c r="G15" s="197" t="s">
        <v>1183</v>
      </c>
      <c r="H15" s="197" t="s">
        <v>1183</v>
      </c>
      <c r="I15" s="197" t="s">
        <v>1183</v>
      </c>
      <c r="J15" s="197" t="s">
        <v>1183</v>
      </c>
      <c r="K15" s="197" t="s">
        <v>1183</v>
      </c>
      <c r="L15" s="197" t="s">
        <v>1183</v>
      </c>
      <c r="M15" s="197" t="s">
        <v>1183</v>
      </c>
      <c r="N15" s="197" t="s">
        <v>1183</v>
      </c>
      <c r="O15" s="274"/>
      <c r="P15" s="197" t="s">
        <v>1183</v>
      </c>
      <c r="Q15" s="197" t="s">
        <v>1183</v>
      </c>
      <c r="R15" s="197" t="s">
        <v>1183</v>
      </c>
      <c r="S15" s="197" t="s">
        <v>1183</v>
      </c>
      <c r="T15" s="197" t="s">
        <v>1183</v>
      </c>
      <c r="U15" s="197" t="s">
        <v>1183</v>
      </c>
      <c r="V15" s="197" t="s">
        <v>1183</v>
      </c>
      <c r="W15" s="197" t="s">
        <v>1183</v>
      </c>
      <c r="X15" s="197"/>
      <c r="Y15" s="197" t="s">
        <v>1183</v>
      </c>
      <c r="Z15" s="197" t="s">
        <v>1183</v>
      </c>
      <c r="AA15" s="197" t="s">
        <v>1183</v>
      </c>
      <c r="AB15" s="197" t="s">
        <v>1183</v>
      </c>
      <c r="AC15" s="197" t="s">
        <v>1183</v>
      </c>
      <c r="AD15" s="197" t="s">
        <v>1183</v>
      </c>
      <c r="AE15" s="197" t="s">
        <v>1183</v>
      </c>
      <c r="AF15" s="197"/>
    </row>
    <row r="16" spans="1:32" ht="12" customHeight="1">
      <c r="A16" s="385" t="s">
        <v>123</v>
      </c>
      <c r="B16" s="197" t="s">
        <v>1183</v>
      </c>
      <c r="C16" s="197" t="s">
        <v>1183</v>
      </c>
      <c r="D16" s="400"/>
      <c r="E16" s="197" t="s">
        <v>1183</v>
      </c>
      <c r="F16" s="197" t="s">
        <v>1183</v>
      </c>
      <c r="G16" s="197" t="s">
        <v>1183</v>
      </c>
      <c r="H16" s="197" t="s">
        <v>1183</v>
      </c>
      <c r="I16" s="197" t="s">
        <v>1183</v>
      </c>
      <c r="J16" s="197" t="s">
        <v>1183</v>
      </c>
      <c r="K16" s="197" t="s">
        <v>1183</v>
      </c>
      <c r="L16" s="197" t="s">
        <v>1183</v>
      </c>
      <c r="M16" s="197" t="s">
        <v>1183</v>
      </c>
      <c r="N16" s="197" t="s">
        <v>1183</v>
      </c>
      <c r="O16" s="274"/>
      <c r="P16" s="197" t="s">
        <v>1183</v>
      </c>
      <c r="Q16" s="197" t="s">
        <v>1183</v>
      </c>
      <c r="R16" s="197" t="s">
        <v>1183</v>
      </c>
      <c r="S16" s="197" t="s">
        <v>1183</v>
      </c>
      <c r="T16" s="197" t="s">
        <v>1183</v>
      </c>
      <c r="U16" s="197" t="s">
        <v>1183</v>
      </c>
      <c r="V16" s="197" t="s">
        <v>1183</v>
      </c>
      <c r="W16" s="197" t="s">
        <v>1183</v>
      </c>
      <c r="X16" s="403"/>
      <c r="Y16" s="197" t="s">
        <v>1183</v>
      </c>
      <c r="Z16" s="197" t="s">
        <v>1183</v>
      </c>
      <c r="AA16" s="197" t="s">
        <v>1183</v>
      </c>
      <c r="AB16" s="197" t="s">
        <v>1183</v>
      </c>
      <c r="AC16" s="197" t="s">
        <v>1183</v>
      </c>
      <c r="AD16" s="197" t="s">
        <v>1183</v>
      </c>
      <c r="AE16" s="197" t="s">
        <v>1183</v>
      </c>
      <c r="AF16" s="197"/>
    </row>
    <row r="17" spans="1:32" ht="57.75" customHeight="1">
      <c r="A17" s="385" t="s">
        <v>223</v>
      </c>
      <c r="B17" s="197" t="s">
        <v>1183</v>
      </c>
      <c r="C17" s="197" t="s">
        <v>1183</v>
      </c>
      <c r="D17" s="163"/>
      <c r="E17" s="197" t="s">
        <v>1183</v>
      </c>
      <c r="F17" s="197" t="s">
        <v>1183</v>
      </c>
      <c r="G17" s="197" t="s">
        <v>1183</v>
      </c>
      <c r="H17" s="197" t="s">
        <v>1183</v>
      </c>
      <c r="I17" s="197" t="s">
        <v>1183</v>
      </c>
      <c r="J17" s="197" t="s">
        <v>1183</v>
      </c>
      <c r="K17" s="197" t="s">
        <v>1183</v>
      </c>
      <c r="L17" s="197" t="s">
        <v>1183</v>
      </c>
      <c r="M17" s="197" t="s">
        <v>1183</v>
      </c>
      <c r="N17" s="197" t="s">
        <v>1183</v>
      </c>
      <c r="O17" s="274"/>
      <c r="P17" s="197" t="s">
        <v>1183</v>
      </c>
      <c r="Q17" s="197" t="s">
        <v>1183</v>
      </c>
      <c r="R17" s="197" t="s">
        <v>1183</v>
      </c>
      <c r="S17" s="197" t="s">
        <v>1183</v>
      </c>
      <c r="T17" s="197" t="s">
        <v>1183</v>
      </c>
      <c r="U17" s="197" t="s">
        <v>1183</v>
      </c>
      <c r="V17" s="197" t="s">
        <v>1183</v>
      </c>
      <c r="W17" s="197" t="s">
        <v>1183</v>
      </c>
      <c r="X17" s="274"/>
      <c r="Y17" s="197" t="s">
        <v>1183</v>
      </c>
      <c r="Z17" s="197" t="s">
        <v>1183</v>
      </c>
      <c r="AA17" s="197" t="s">
        <v>1183</v>
      </c>
      <c r="AB17" s="197" t="s">
        <v>1183</v>
      </c>
      <c r="AC17" s="197" t="s">
        <v>1183</v>
      </c>
      <c r="AD17" s="197" t="s">
        <v>1183</v>
      </c>
      <c r="AE17" s="197" t="s">
        <v>1183</v>
      </c>
      <c r="AF17" s="274"/>
    </row>
    <row r="18" spans="1:32" ht="12" customHeight="1">
      <c r="A18" s="385" t="s">
        <v>326</v>
      </c>
      <c r="B18" s="197" t="s">
        <v>1183</v>
      </c>
      <c r="C18" s="197" t="s">
        <v>1183</v>
      </c>
      <c r="D18" s="384"/>
      <c r="E18" s="197" t="s">
        <v>1183</v>
      </c>
      <c r="F18" s="197" t="s">
        <v>1183</v>
      </c>
      <c r="G18" s="197" t="s">
        <v>1183</v>
      </c>
      <c r="H18" s="197" t="s">
        <v>1183</v>
      </c>
      <c r="I18" s="197" t="s">
        <v>1183</v>
      </c>
      <c r="J18" s="197" t="s">
        <v>1183</v>
      </c>
      <c r="K18" s="197" t="s">
        <v>1183</v>
      </c>
      <c r="L18" s="197" t="s">
        <v>1183</v>
      </c>
      <c r="M18" s="197" t="s">
        <v>1183</v>
      </c>
      <c r="N18" s="197" t="s">
        <v>1183</v>
      </c>
      <c r="O18" s="275"/>
      <c r="P18" s="197" t="s">
        <v>1183</v>
      </c>
      <c r="Q18" s="197" t="s">
        <v>1183</v>
      </c>
      <c r="R18" s="197" t="s">
        <v>1183</v>
      </c>
      <c r="S18" s="197" t="s">
        <v>1183</v>
      </c>
      <c r="T18" s="197" t="s">
        <v>1183</v>
      </c>
      <c r="U18" s="197" t="s">
        <v>1183</v>
      </c>
      <c r="V18" s="197" t="s">
        <v>1183</v>
      </c>
      <c r="W18" s="197" t="s">
        <v>1183</v>
      </c>
      <c r="X18" s="274"/>
      <c r="Y18" s="197" t="s">
        <v>1183</v>
      </c>
      <c r="Z18" s="197" t="s">
        <v>1183</v>
      </c>
      <c r="AA18" s="197" t="s">
        <v>1183</v>
      </c>
      <c r="AB18" s="197" t="s">
        <v>1183</v>
      </c>
      <c r="AC18" s="197" t="s">
        <v>1183</v>
      </c>
      <c r="AD18" s="197" t="s">
        <v>1183</v>
      </c>
      <c r="AE18" s="197" t="s">
        <v>1183</v>
      </c>
      <c r="AF18" s="197"/>
    </row>
    <row r="19" spans="1:32" s="114" customFormat="1" ht="12" customHeight="1">
      <c r="A19" s="385" t="s">
        <v>153</v>
      </c>
      <c r="B19" s="197" t="s">
        <v>1183</v>
      </c>
      <c r="C19" s="197" t="s">
        <v>1183</v>
      </c>
      <c r="D19" s="402"/>
      <c r="E19" s="197" t="s">
        <v>1183</v>
      </c>
      <c r="F19" s="197" t="s">
        <v>1183</v>
      </c>
      <c r="G19" s="197" t="s">
        <v>1183</v>
      </c>
      <c r="H19" s="197" t="s">
        <v>1183</v>
      </c>
      <c r="I19" s="197" t="s">
        <v>1183</v>
      </c>
      <c r="J19" s="197" t="s">
        <v>1183</v>
      </c>
      <c r="K19" s="197" t="s">
        <v>1183</v>
      </c>
      <c r="L19" s="197" t="s">
        <v>1183</v>
      </c>
      <c r="M19" s="197" t="s">
        <v>1183</v>
      </c>
      <c r="N19" s="197" t="s">
        <v>1183</v>
      </c>
      <c r="O19" s="274"/>
      <c r="P19" s="197" t="s">
        <v>1183</v>
      </c>
      <c r="Q19" s="197" t="s">
        <v>1183</v>
      </c>
      <c r="R19" s="197" t="s">
        <v>1183</v>
      </c>
      <c r="S19" s="197" t="s">
        <v>1183</v>
      </c>
      <c r="T19" s="197" t="s">
        <v>1183</v>
      </c>
      <c r="U19" s="197" t="s">
        <v>1183</v>
      </c>
      <c r="V19" s="197" t="s">
        <v>1183</v>
      </c>
      <c r="W19" s="197" t="s">
        <v>1183</v>
      </c>
      <c r="X19" s="274"/>
      <c r="Y19" s="197" t="s">
        <v>1183</v>
      </c>
      <c r="Z19" s="197" t="s">
        <v>1183</v>
      </c>
      <c r="AA19" s="197" t="s">
        <v>1183</v>
      </c>
      <c r="AB19" s="197" t="s">
        <v>1183</v>
      </c>
      <c r="AC19" s="197" t="s">
        <v>1183</v>
      </c>
      <c r="AD19" s="197" t="s">
        <v>1183</v>
      </c>
      <c r="AE19" s="197" t="s">
        <v>1183</v>
      </c>
      <c r="AF19" s="197"/>
    </row>
    <row r="20" spans="1:32" s="114" customFormat="1" ht="50.25" customHeight="1">
      <c r="A20" s="385" t="s">
        <v>330</v>
      </c>
      <c r="B20" s="197" t="s">
        <v>1183</v>
      </c>
      <c r="C20" s="197" t="s">
        <v>1183</v>
      </c>
      <c r="D20" s="163"/>
      <c r="E20" s="197" t="s">
        <v>1183</v>
      </c>
      <c r="F20" s="197" t="s">
        <v>1183</v>
      </c>
      <c r="G20" s="197" t="s">
        <v>1183</v>
      </c>
      <c r="H20" s="197" t="s">
        <v>1183</v>
      </c>
      <c r="I20" s="197" t="s">
        <v>1183</v>
      </c>
      <c r="J20" s="197" t="s">
        <v>1183</v>
      </c>
      <c r="K20" s="197" t="s">
        <v>1183</v>
      </c>
      <c r="L20" s="197" t="s">
        <v>1183</v>
      </c>
      <c r="M20" s="197" t="s">
        <v>1183</v>
      </c>
      <c r="N20" s="197" t="s">
        <v>1183</v>
      </c>
      <c r="O20" s="274"/>
      <c r="P20" s="197" t="s">
        <v>1183</v>
      </c>
      <c r="Q20" s="197" t="s">
        <v>1183</v>
      </c>
      <c r="R20" s="197" t="s">
        <v>1183</v>
      </c>
      <c r="S20" s="197" t="s">
        <v>1183</v>
      </c>
      <c r="T20" s="197" t="s">
        <v>1183</v>
      </c>
      <c r="U20" s="197" t="s">
        <v>1183</v>
      </c>
      <c r="V20" s="197" t="s">
        <v>1183</v>
      </c>
      <c r="W20" s="197" t="s">
        <v>1183</v>
      </c>
      <c r="X20" s="274"/>
      <c r="Y20" s="197" t="s">
        <v>1183</v>
      </c>
      <c r="Z20" s="197" t="s">
        <v>1183</v>
      </c>
      <c r="AA20" s="197" t="s">
        <v>1183</v>
      </c>
      <c r="AB20" s="197" t="s">
        <v>1183</v>
      </c>
      <c r="AC20" s="197" t="s">
        <v>1183</v>
      </c>
      <c r="AD20" s="197" t="s">
        <v>1183</v>
      </c>
      <c r="AE20" s="197" t="s">
        <v>1183</v>
      </c>
      <c r="AF20" s="274"/>
    </row>
    <row r="21" spans="1:32" ht="27.75" customHeight="1">
      <c r="A21" s="385" t="s">
        <v>331</v>
      </c>
      <c r="B21" s="197" t="s">
        <v>1183</v>
      </c>
      <c r="C21" s="197" t="s">
        <v>1183</v>
      </c>
      <c r="D21" s="384"/>
      <c r="E21" s="197" t="s">
        <v>1183</v>
      </c>
      <c r="F21" s="197" t="s">
        <v>1183</v>
      </c>
      <c r="G21" s="197" t="s">
        <v>1183</v>
      </c>
      <c r="H21" s="197" t="s">
        <v>1183</v>
      </c>
      <c r="I21" s="197" t="s">
        <v>1183</v>
      </c>
      <c r="J21" s="197" t="s">
        <v>1183</v>
      </c>
      <c r="K21" s="197" t="s">
        <v>1183</v>
      </c>
      <c r="L21" s="197" t="s">
        <v>1183</v>
      </c>
      <c r="M21" s="197" t="s">
        <v>1183</v>
      </c>
      <c r="N21" s="197" t="s">
        <v>1183</v>
      </c>
      <c r="O21" s="275"/>
      <c r="P21" s="197" t="s">
        <v>1183</v>
      </c>
      <c r="Q21" s="197" t="s">
        <v>1183</v>
      </c>
      <c r="R21" s="197" t="s">
        <v>1183</v>
      </c>
      <c r="S21" s="197" t="s">
        <v>1183</v>
      </c>
      <c r="T21" s="197" t="s">
        <v>1183</v>
      </c>
      <c r="U21" s="197" t="s">
        <v>1183</v>
      </c>
      <c r="V21" s="197" t="s">
        <v>1183</v>
      </c>
      <c r="W21" s="197" t="s">
        <v>1183</v>
      </c>
      <c r="X21" s="197"/>
      <c r="Y21" s="197" t="s">
        <v>1183</v>
      </c>
      <c r="Z21" s="197" t="s">
        <v>1183</v>
      </c>
      <c r="AA21" s="197" t="s">
        <v>1183</v>
      </c>
      <c r="AB21" s="197" t="s">
        <v>1183</v>
      </c>
      <c r="AC21" s="197" t="s">
        <v>1183</v>
      </c>
      <c r="AD21" s="197" t="s">
        <v>1183</v>
      </c>
      <c r="AE21" s="197" t="s">
        <v>1183</v>
      </c>
      <c r="AF21" s="197"/>
    </row>
    <row r="22" spans="1:32" ht="42" customHeight="1">
      <c r="A22" s="385" t="s">
        <v>337</v>
      </c>
      <c r="B22" s="197" t="s">
        <v>1183</v>
      </c>
      <c r="C22" s="197" t="s">
        <v>1183</v>
      </c>
      <c r="D22" s="163"/>
      <c r="E22" s="197" t="s">
        <v>1183</v>
      </c>
      <c r="F22" s="197" t="s">
        <v>1183</v>
      </c>
      <c r="G22" s="197" t="s">
        <v>1183</v>
      </c>
      <c r="H22" s="197" t="s">
        <v>1183</v>
      </c>
      <c r="I22" s="197" t="s">
        <v>1183</v>
      </c>
      <c r="J22" s="197" t="s">
        <v>1183</v>
      </c>
      <c r="K22" s="197" t="s">
        <v>1183</v>
      </c>
      <c r="L22" s="197" t="s">
        <v>1183</v>
      </c>
      <c r="M22" s="197" t="s">
        <v>1183</v>
      </c>
      <c r="N22" s="197" t="s">
        <v>1183</v>
      </c>
      <c r="O22" s="274"/>
      <c r="P22" s="197" t="s">
        <v>1183</v>
      </c>
      <c r="Q22" s="197" t="s">
        <v>1183</v>
      </c>
      <c r="R22" s="197" t="s">
        <v>1183</v>
      </c>
      <c r="S22" s="197" t="s">
        <v>1183</v>
      </c>
      <c r="T22" s="197" t="s">
        <v>1183</v>
      </c>
      <c r="U22" s="197" t="s">
        <v>1183</v>
      </c>
      <c r="V22" s="197" t="s">
        <v>1183</v>
      </c>
      <c r="W22" s="197" t="s">
        <v>1183</v>
      </c>
      <c r="X22" s="404"/>
      <c r="Y22" s="197" t="s">
        <v>1183</v>
      </c>
      <c r="Z22" s="197" t="s">
        <v>1183</v>
      </c>
      <c r="AA22" s="197" t="s">
        <v>1183</v>
      </c>
      <c r="AB22" s="197" t="s">
        <v>1183</v>
      </c>
      <c r="AC22" s="197" t="s">
        <v>1183</v>
      </c>
      <c r="AD22" s="197" t="s">
        <v>1183</v>
      </c>
      <c r="AE22" s="197" t="s">
        <v>1183</v>
      </c>
      <c r="AF22" s="274"/>
    </row>
    <row r="23" spans="1:32" ht="12" customHeight="1">
      <c r="A23" s="385" t="s">
        <v>220</v>
      </c>
      <c r="B23" s="197" t="s">
        <v>1183</v>
      </c>
      <c r="C23" s="197" t="s">
        <v>1183</v>
      </c>
      <c r="D23" s="163"/>
      <c r="E23" s="197" t="s">
        <v>1183</v>
      </c>
      <c r="F23" s="197" t="s">
        <v>1183</v>
      </c>
      <c r="G23" s="197" t="s">
        <v>1183</v>
      </c>
      <c r="H23" s="197" t="s">
        <v>1183</v>
      </c>
      <c r="I23" s="197" t="s">
        <v>1183</v>
      </c>
      <c r="J23" s="197" t="s">
        <v>1183</v>
      </c>
      <c r="K23" s="197" t="s">
        <v>1183</v>
      </c>
      <c r="L23" s="197" t="s">
        <v>1183</v>
      </c>
      <c r="M23" s="197" t="s">
        <v>1183</v>
      </c>
      <c r="N23" s="197" t="s">
        <v>1183</v>
      </c>
      <c r="O23" s="274"/>
      <c r="P23" s="197" t="s">
        <v>1183</v>
      </c>
      <c r="Q23" s="197" t="s">
        <v>1183</v>
      </c>
      <c r="R23" s="197" t="s">
        <v>1183</v>
      </c>
      <c r="S23" s="197" t="s">
        <v>1183</v>
      </c>
      <c r="T23" s="197" t="s">
        <v>1183</v>
      </c>
      <c r="U23" s="197" t="s">
        <v>1183</v>
      </c>
      <c r="V23" s="197" t="s">
        <v>1183</v>
      </c>
      <c r="W23" s="197" t="s">
        <v>1183</v>
      </c>
      <c r="X23" s="274"/>
      <c r="Y23" s="197" t="s">
        <v>1183</v>
      </c>
      <c r="Z23" s="197" t="s">
        <v>1183</v>
      </c>
      <c r="AA23" s="197" t="s">
        <v>1183</v>
      </c>
      <c r="AB23" s="197" t="s">
        <v>1183</v>
      </c>
      <c r="AC23" s="197" t="s">
        <v>1183</v>
      </c>
      <c r="AD23" s="197" t="s">
        <v>1183</v>
      </c>
      <c r="AE23" s="197" t="s">
        <v>1183</v>
      </c>
      <c r="AF23" s="274"/>
    </row>
    <row r="24" spans="1:32" ht="12" customHeight="1">
      <c r="A24" s="385" t="s">
        <v>225</v>
      </c>
      <c r="B24" s="197" t="s">
        <v>1183</v>
      </c>
      <c r="C24" s="197" t="s">
        <v>1183</v>
      </c>
      <c r="D24" s="401"/>
      <c r="E24" s="197" t="s">
        <v>1183</v>
      </c>
      <c r="F24" s="197" t="s">
        <v>1183</v>
      </c>
      <c r="G24" s="197" t="s">
        <v>1183</v>
      </c>
      <c r="H24" s="197" t="s">
        <v>1183</v>
      </c>
      <c r="I24" s="197" t="s">
        <v>1183</v>
      </c>
      <c r="J24" s="197" t="s">
        <v>1183</v>
      </c>
      <c r="K24" s="197" t="s">
        <v>1183</v>
      </c>
      <c r="L24" s="197" t="s">
        <v>1183</v>
      </c>
      <c r="M24" s="197" t="s">
        <v>1183</v>
      </c>
      <c r="N24" s="197" t="s">
        <v>1183</v>
      </c>
      <c r="O24" s="274"/>
      <c r="P24" s="197" t="s">
        <v>1183</v>
      </c>
      <c r="Q24" s="197" t="s">
        <v>1183</v>
      </c>
      <c r="R24" s="197" t="s">
        <v>1183</v>
      </c>
      <c r="S24" s="197" t="s">
        <v>1183</v>
      </c>
      <c r="T24" s="197" t="s">
        <v>1183</v>
      </c>
      <c r="U24" s="197" t="s">
        <v>1183</v>
      </c>
      <c r="V24" s="197" t="s">
        <v>1183</v>
      </c>
      <c r="W24" s="197" t="s">
        <v>1183</v>
      </c>
      <c r="X24" s="197"/>
      <c r="Y24" s="197" t="s">
        <v>1183</v>
      </c>
      <c r="Z24" s="197" t="s">
        <v>1183</v>
      </c>
      <c r="AA24" s="197" t="s">
        <v>1183</v>
      </c>
      <c r="AB24" s="197" t="s">
        <v>1183</v>
      </c>
      <c r="AC24" s="197" t="s">
        <v>1183</v>
      </c>
      <c r="AD24" s="197" t="s">
        <v>1183</v>
      </c>
      <c r="AE24" s="197" t="s">
        <v>1183</v>
      </c>
      <c r="AF24" s="197"/>
    </row>
    <row r="25" spans="1:32" ht="12" customHeight="1">
      <c r="A25" s="385" t="s">
        <v>347</v>
      </c>
      <c r="B25" s="197" t="s">
        <v>1183</v>
      </c>
      <c r="C25" s="197" t="s">
        <v>1183</v>
      </c>
      <c r="D25" s="384"/>
      <c r="E25" s="197" t="s">
        <v>1183</v>
      </c>
      <c r="F25" s="197" t="s">
        <v>1183</v>
      </c>
      <c r="G25" s="197" t="s">
        <v>1183</v>
      </c>
      <c r="H25" s="197" t="s">
        <v>1183</v>
      </c>
      <c r="I25" s="197" t="s">
        <v>1183</v>
      </c>
      <c r="J25" s="197" t="s">
        <v>1183</v>
      </c>
      <c r="K25" s="197" t="s">
        <v>1183</v>
      </c>
      <c r="L25" s="197" t="s">
        <v>1183</v>
      </c>
      <c r="M25" s="197" t="s">
        <v>1183</v>
      </c>
      <c r="N25" s="197" t="s">
        <v>1183</v>
      </c>
      <c r="O25" s="275"/>
      <c r="P25" s="197" t="s">
        <v>1183</v>
      </c>
      <c r="Q25" s="197" t="s">
        <v>1183</v>
      </c>
      <c r="R25" s="197" t="s">
        <v>1183</v>
      </c>
      <c r="S25" s="197" t="s">
        <v>1183</v>
      </c>
      <c r="T25" s="197" t="s">
        <v>1183</v>
      </c>
      <c r="U25" s="197" t="s">
        <v>1183</v>
      </c>
      <c r="V25" s="197" t="s">
        <v>1183</v>
      </c>
      <c r="W25" s="197" t="s">
        <v>1183</v>
      </c>
      <c r="X25" s="197"/>
      <c r="Y25" s="197" t="s">
        <v>1183</v>
      </c>
      <c r="Z25" s="197" t="s">
        <v>1183</v>
      </c>
      <c r="AA25" s="197" t="s">
        <v>1183</v>
      </c>
      <c r="AB25" s="197" t="s">
        <v>1183</v>
      </c>
      <c r="AC25" s="197" t="s">
        <v>1183</v>
      </c>
      <c r="AD25" s="197" t="s">
        <v>1183</v>
      </c>
      <c r="AE25" s="197" t="s">
        <v>1183</v>
      </c>
      <c r="AF25" s="197"/>
    </row>
    <row r="26" spans="1:32" ht="12" customHeight="1">
      <c r="A26" s="385" t="s">
        <v>230</v>
      </c>
      <c r="B26" s="197" t="s">
        <v>1183</v>
      </c>
      <c r="C26" s="197" t="s">
        <v>1183</v>
      </c>
      <c r="D26" s="163"/>
      <c r="E26" s="197" t="s">
        <v>1183</v>
      </c>
      <c r="F26" s="197" t="s">
        <v>1183</v>
      </c>
      <c r="G26" s="197" t="s">
        <v>1183</v>
      </c>
      <c r="H26" s="197" t="s">
        <v>1183</v>
      </c>
      <c r="I26" s="197" t="s">
        <v>1183</v>
      </c>
      <c r="J26" s="197" t="s">
        <v>1183</v>
      </c>
      <c r="K26" s="197" t="s">
        <v>1183</v>
      </c>
      <c r="L26" s="197" t="s">
        <v>1183</v>
      </c>
      <c r="M26" s="197" t="s">
        <v>1183</v>
      </c>
      <c r="N26" s="197" t="s">
        <v>1183</v>
      </c>
      <c r="O26" s="274"/>
      <c r="P26" s="197" t="s">
        <v>1183</v>
      </c>
      <c r="Q26" s="197" t="s">
        <v>1183</v>
      </c>
      <c r="R26" s="197" t="s">
        <v>1183</v>
      </c>
      <c r="S26" s="197" t="s">
        <v>1183</v>
      </c>
      <c r="T26" s="197" t="s">
        <v>1183</v>
      </c>
      <c r="U26" s="197" t="s">
        <v>1183</v>
      </c>
      <c r="V26" s="197" t="s">
        <v>1183</v>
      </c>
      <c r="W26" s="197" t="s">
        <v>1183</v>
      </c>
      <c r="X26" s="404"/>
      <c r="Y26" s="197" t="s">
        <v>1183</v>
      </c>
      <c r="Z26" s="197" t="s">
        <v>1183</v>
      </c>
      <c r="AA26" s="197" t="s">
        <v>1183</v>
      </c>
      <c r="AB26" s="197" t="s">
        <v>1183</v>
      </c>
      <c r="AC26" s="197" t="s">
        <v>1183</v>
      </c>
      <c r="AD26" s="197" t="s">
        <v>1183</v>
      </c>
      <c r="AE26" s="197" t="s">
        <v>1183</v>
      </c>
      <c r="AF26" s="274"/>
    </row>
    <row r="27" spans="1:32" ht="12" customHeight="1">
      <c r="A27" s="284"/>
      <c r="B27" s="142"/>
      <c r="C27" s="142"/>
      <c r="D27" s="115"/>
      <c r="E27" s="142"/>
      <c r="F27" s="142"/>
      <c r="G27" s="142"/>
      <c r="H27" s="142"/>
      <c r="I27" s="142"/>
      <c r="J27" s="142"/>
      <c r="K27" s="142"/>
      <c r="L27" s="142"/>
      <c r="M27" s="142"/>
      <c r="N27" s="142"/>
      <c r="O27" s="142"/>
      <c r="P27" s="142"/>
      <c r="Q27" s="142"/>
      <c r="R27" s="142"/>
      <c r="S27" s="142"/>
      <c r="T27" s="142"/>
      <c r="U27" s="142"/>
      <c r="V27" s="142"/>
      <c r="W27" s="142"/>
      <c r="X27" s="142"/>
      <c r="Y27" s="142"/>
      <c r="Z27" s="142"/>
      <c r="AA27" s="142"/>
      <c r="AB27" s="142"/>
      <c r="AC27" s="142"/>
      <c r="AD27" s="142"/>
      <c r="AE27" s="142"/>
      <c r="AF27" s="142"/>
    </row>
    <row r="28" spans="1:32" ht="12" customHeight="1">
      <c r="A28" s="284"/>
      <c r="B28" s="142"/>
      <c r="C28" s="142"/>
      <c r="D28" s="115"/>
      <c r="E28" s="142"/>
      <c r="F28" s="142"/>
      <c r="G28" s="142"/>
      <c r="H28" s="142"/>
      <c r="I28" s="142"/>
      <c r="J28" s="142"/>
      <c r="K28" s="142"/>
      <c r="L28" s="142"/>
      <c r="M28" s="142"/>
      <c r="N28" s="142"/>
      <c r="O28" s="142"/>
      <c r="P28" s="142"/>
      <c r="Q28" s="142"/>
      <c r="R28" s="142"/>
      <c r="S28" s="142"/>
      <c r="T28" s="142"/>
      <c r="U28" s="142"/>
      <c r="V28" s="142"/>
      <c r="W28" s="142"/>
      <c r="X28" s="142"/>
      <c r="Y28" s="142"/>
      <c r="Z28" s="142"/>
      <c r="AA28" s="142"/>
      <c r="AB28" s="142"/>
      <c r="AC28" s="142"/>
      <c r="AD28" s="142"/>
      <c r="AE28" s="142"/>
      <c r="AF28" s="142"/>
    </row>
    <row r="29" spans="1:32" ht="12" customHeight="1">
      <c r="B29" s="142"/>
    </row>
    <row r="30" spans="1:32" ht="12" customHeight="1">
      <c r="A30" s="284"/>
      <c r="C30" s="142"/>
      <c r="D30" s="115"/>
      <c r="E30" s="142"/>
      <c r="F30" s="142"/>
      <c r="G30" s="142"/>
      <c r="H30" s="142"/>
      <c r="I30" s="142"/>
      <c r="J30" s="142"/>
      <c r="K30" s="142"/>
      <c r="L30" s="142"/>
      <c r="M30" s="142"/>
      <c r="N30" s="142"/>
      <c r="O30" s="142"/>
      <c r="P30" s="142"/>
      <c r="Q30" s="142"/>
      <c r="R30" s="142"/>
      <c r="S30" s="142"/>
      <c r="T30" s="142"/>
      <c r="U30" s="142"/>
      <c r="V30" s="142"/>
      <c r="W30" s="142"/>
      <c r="X30" s="142"/>
      <c r="Y30" s="142"/>
      <c r="Z30" s="142"/>
      <c r="AA30" s="142"/>
      <c r="AB30" s="142"/>
      <c r="AC30" s="142"/>
      <c r="AD30" s="142"/>
      <c r="AE30" s="142"/>
      <c r="AF30" s="142"/>
    </row>
  </sheetData>
  <autoFilter ref="B3:AF26" xr:uid="{D802DC20-37CA-4844-9EA6-D8BD7009E8AF}"/>
  <sortState xmlns:xlrd2="http://schemas.microsoft.com/office/spreadsheetml/2017/richdata2" ref="A5:A26">
    <sortCondition ref="A5:A26"/>
  </sortState>
  <mergeCells count="4">
    <mergeCell ref="P2:X2"/>
    <mergeCell ref="Y2:AF2"/>
    <mergeCell ref="B2:D2"/>
    <mergeCell ref="E2:O2"/>
  </mergeCells>
  <phoneticPr fontId="29" type="noConversion"/>
  <conditionalFormatting sqref="X3:Z5 C5:E5 A5:C26 D6:D13 X6:X15 E6:E26 Y6:Z26 D15 D17:D18 X17:X21 D20:D26 X23:X25 B27:E29 A27:A1048576 X27:Z1048576 C30:E30 B31:E31 B32:C32 E32 B33:E1048576 A4:E4 A1:AF1 F3:W1048576 A2:B3 E2:E3">
    <cfRule type="cellIs" dxfId="47" priority="150" operator="equal">
      <formula>"Issue Reported"</formula>
    </cfRule>
  </conditionalFormatting>
  <conditionalFormatting sqref="E4:E1048576 P4:P1048576 Y4:Y1048576 C5:C26 Q5:W26 Y5:AE26 B31:B1048576 B4:B29 F5:N26">
    <cfRule type="cellIs" dxfId="46" priority="151" operator="equal">
      <formula>"N/A"</formula>
    </cfRule>
  </conditionalFormatting>
  <conditionalFormatting sqref="B5:B29 E5:W26">
    <cfRule type="cellIs" dxfId="45" priority="77" operator="equal">
      <formula>"Green"</formula>
    </cfRule>
    <cfRule type="cellIs" dxfId="44" priority="78" operator="equal">
      <formula>"Amber"</formula>
    </cfRule>
    <cfRule type="cellIs" dxfId="43" priority="79" operator="equal">
      <formula>"Red"</formula>
    </cfRule>
  </conditionalFormatting>
  <conditionalFormatting sqref="B5:C5 E5:N5">
    <cfRule type="cellIs" dxfId="42" priority="80" operator="equal">
      <formula>"Bank Not Doing Anything"</formula>
    </cfRule>
  </conditionalFormatting>
  <conditionalFormatting sqref="C5:D5 C5:C26 E5:E28 Y5:Y28 P27:P28">
    <cfRule type="cellIs" dxfId="41" priority="185" operator="equal">
      <formula>"Green"</formula>
    </cfRule>
    <cfRule type="cellIs" dxfId="40" priority="186" operator="equal">
      <formula>"Amber"</formula>
    </cfRule>
    <cfRule type="cellIs" dxfId="39" priority="187" operator="equal">
      <formula>"Red"</formula>
    </cfRule>
  </conditionalFormatting>
  <conditionalFormatting sqref="E30">
    <cfRule type="cellIs" dxfId="38" priority="169" operator="equal">
      <formula>"Green"</formula>
    </cfRule>
    <cfRule type="cellIs" dxfId="37" priority="170" operator="equal">
      <formula>"Amber"</formula>
    </cfRule>
    <cfRule type="cellIs" dxfId="36" priority="171" operator="equal">
      <formula>"Red"</formula>
    </cfRule>
  </conditionalFormatting>
  <conditionalFormatting sqref="X5:X15 D6:D13 D15 D17:D18 X17:X21 D20:D26 X23:X25 F5:W26">
    <cfRule type="cellIs" dxfId="35" priority="180" operator="equal">
      <formula>"Not Reported"</formula>
    </cfRule>
  </conditionalFormatting>
  <conditionalFormatting sqref="P4 E4:E1048576 Y4:Y1048576 C5:D5 Q5:W5 C5:C26 P27:P1048576 B31:B1048576 B4:B29">
    <cfRule type="cellIs" dxfId="34" priority="184" operator="equal">
      <formula>"Not Reported"</formula>
    </cfRule>
  </conditionalFormatting>
  <conditionalFormatting sqref="P30">
    <cfRule type="cellIs" dxfId="33" priority="165" operator="equal">
      <formula>"Green"</formula>
    </cfRule>
    <cfRule type="cellIs" dxfId="32" priority="166" operator="equal">
      <formula>"Amber"</formula>
    </cfRule>
    <cfRule type="cellIs" dxfId="31" priority="167" operator="equal">
      <formula>"Red"</formula>
    </cfRule>
  </conditionalFormatting>
  <conditionalFormatting sqref="P5:W5">
    <cfRule type="cellIs" dxfId="30" priority="27" operator="equal">
      <formula>"Bank Not Doing Anything"</formula>
    </cfRule>
  </conditionalFormatting>
  <conditionalFormatting sqref="X5:X15 O5:O25 D6:D13 D15 D17:D18 X17:X21 D20:D26 X23:X25">
    <cfRule type="cellIs" dxfId="29" priority="181" operator="equal">
      <formula>"Green"</formula>
    </cfRule>
    <cfRule type="cellIs" dxfId="28" priority="182" operator="equal">
      <formula>"Amber"</formula>
    </cfRule>
    <cfRule type="cellIs" dxfId="27" priority="183" operator="equal">
      <formula>"Red"</formula>
    </cfRule>
  </conditionalFormatting>
  <conditionalFormatting sqref="Y30">
    <cfRule type="cellIs" dxfId="26" priority="161" operator="equal">
      <formula>"Green"</formula>
    </cfRule>
    <cfRule type="cellIs" dxfId="25" priority="162" operator="equal">
      <formula>"Amber"</formula>
    </cfRule>
    <cfRule type="cellIs" dxfId="24" priority="163" operator="equal">
      <formula>"Red"</formula>
    </cfRule>
  </conditionalFormatting>
  <conditionalFormatting sqref="Y5:AE5">
    <cfRule type="cellIs" dxfId="23" priority="11" operator="equal">
      <formula>"Bank Not Doing Anything"</formula>
    </cfRule>
  </conditionalFormatting>
  <conditionalFormatting sqref="Y5:AF26">
    <cfRule type="cellIs" dxfId="22" priority="13" operator="equal">
      <formula>"Green"</formula>
    </cfRule>
    <cfRule type="cellIs" dxfId="21" priority="14" operator="equal">
      <formula>"Amber"</formula>
    </cfRule>
    <cfRule type="cellIs" dxfId="20" priority="15" operator="equal">
      <formula>"Red"</formula>
    </cfRule>
  </conditionalFormatting>
  <conditionalFormatting sqref="Z5:AF26">
    <cfRule type="cellIs" dxfId="19" priority="12" operator="equal">
      <formula>"Not Reported"</formula>
    </cfRule>
  </conditionalFormatting>
  <conditionalFormatting sqref="AA3:AF1048576">
    <cfRule type="cellIs" dxfId="18" priority="143" operator="equal">
      <formula>"Issue Reported"</formula>
    </cfRule>
  </conditionalFormatting>
  <conditionalFormatting sqref="P2">
    <cfRule type="cellIs" dxfId="17" priority="3" operator="equal">
      <formula>"Issue Reported"</formula>
    </cfRule>
  </conditionalFormatting>
  <conditionalFormatting sqref="Y2">
    <cfRule type="cellIs" dxfId="16" priority="2" operator="equal">
      <formula>"Issue Reported"</formula>
    </cfRule>
  </conditionalFormatting>
  <conditionalFormatting sqref="C3">
    <cfRule type="cellIs" dxfId="15" priority="1" operator="equal">
      <formula>"Issue Reported"</formula>
    </cfRule>
  </conditionalFormatting>
  <dataValidations count="1">
    <dataValidation type="list" allowBlank="1" showInputMessage="1" showErrorMessage="1" sqref="E5:E1048576 Y27:Y1048576 B5:B29 Q5:W26 C5:C26 B31:B1048576 P5:P1048576 Y5:AE26 F5:N26" xr:uid="{E2A15475-7067-4552-A482-1A051331736C}">
      <formula1>"Bank Not Doing Anything, Green, Red, Amber, Not Reported, Issue Reported"</formula1>
    </dataValidation>
  </dataValidation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67001-2CC5-4532-B70E-793C618DE0E9}">
  <dimension ref="A1"/>
  <sheetViews>
    <sheetView workbookViewId="0"/>
  </sheetViews>
  <sheetFormatPr defaultRowHeight="14.4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4208A-2F45-4AFD-9107-17B1833346BF}">
  <dimension ref="B2:D28"/>
  <sheetViews>
    <sheetView workbookViewId="0">
      <selection activeCell="D30" sqref="D30"/>
    </sheetView>
  </sheetViews>
  <sheetFormatPr defaultRowHeight="14.45"/>
  <cols>
    <col min="2" max="2" width="14" customWidth="1"/>
    <col min="3" max="3" width="39.85546875" bestFit="1" customWidth="1"/>
    <col min="4" max="4" width="74.5703125" style="6" bestFit="1" customWidth="1"/>
  </cols>
  <sheetData>
    <row r="2" spans="2:4">
      <c r="B2" s="79" t="s">
        <v>1184</v>
      </c>
      <c r="C2" s="80" t="s">
        <v>913</v>
      </c>
      <c r="D2" s="81" t="s">
        <v>1185</v>
      </c>
    </row>
    <row r="3" spans="2:4">
      <c r="B3" s="66"/>
      <c r="C3" s="66" t="s">
        <v>1186</v>
      </c>
      <c r="D3" s="75"/>
    </row>
    <row r="4" spans="2:4">
      <c r="B4" s="66"/>
      <c r="C4" s="66" t="s">
        <v>1187</v>
      </c>
      <c r="D4" s="75"/>
    </row>
    <row r="5" spans="2:4">
      <c r="B5" s="66"/>
      <c r="C5" s="66" t="s">
        <v>1188</v>
      </c>
      <c r="D5" s="75"/>
    </row>
    <row r="6" spans="2:4">
      <c r="B6" s="66"/>
      <c r="C6" s="66" t="s">
        <v>1189</v>
      </c>
      <c r="D6" s="75"/>
    </row>
    <row r="7" spans="2:4">
      <c r="B7" s="66"/>
      <c r="C7" s="66" t="s">
        <v>223</v>
      </c>
      <c r="D7" s="75"/>
    </row>
    <row r="8" spans="2:4">
      <c r="B8" s="66"/>
      <c r="C8" s="66" t="s">
        <v>231</v>
      </c>
      <c r="D8" s="75"/>
    </row>
    <row r="9" spans="2:4">
      <c r="B9" s="66"/>
      <c r="C9" s="66" t="s">
        <v>1190</v>
      </c>
      <c r="D9" s="75"/>
    </row>
    <row r="10" spans="2:4">
      <c r="B10" s="66"/>
      <c r="C10" s="66" t="s">
        <v>1191</v>
      </c>
      <c r="D10" s="75"/>
    </row>
    <row r="11" spans="2:4">
      <c r="B11" s="66"/>
      <c r="C11" s="66"/>
      <c r="D11" s="76"/>
    </row>
    <row r="12" spans="2:4">
      <c r="B12" s="66"/>
      <c r="C12" s="66"/>
      <c r="D12" s="77"/>
    </row>
    <row r="13" spans="2:4">
      <c r="B13" s="66"/>
      <c r="C13" s="78"/>
      <c r="D13" s="77"/>
    </row>
    <row r="14" spans="2:4">
      <c r="B14" s="66"/>
      <c r="C14" s="66"/>
      <c r="D14" s="75"/>
    </row>
    <row r="15" spans="2:4">
      <c r="B15" s="66"/>
      <c r="C15" s="66"/>
      <c r="D15" s="75"/>
    </row>
    <row r="16" spans="2:4">
      <c r="B16" s="66"/>
      <c r="C16" s="66"/>
      <c r="D16" s="75"/>
    </row>
    <row r="17" spans="2:4">
      <c r="B17" s="66"/>
      <c r="C17" s="66"/>
      <c r="D17" s="75"/>
    </row>
    <row r="18" spans="2:4">
      <c r="B18" s="66"/>
      <c r="C18" s="66"/>
      <c r="D18" s="75"/>
    </row>
    <row r="19" spans="2:4">
      <c r="B19" s="66"/>
      <c r="C19" s="66"/>
      <c r="D19" s="75"/>
    </row>
    <row r="20" spans="2:4">
      <c r="B20" s="66"/>
      <c r="C20" s="66"/>
      <c r="D20" s="75"/>
    </row>
    <row r="21" spans="2:4">
      <c r="B21" s="66"/>
      <c r="C21" s="66"/>
      <c r="D21" s="75"/>
    </row>
    <row r="22" spans="2:4">
      <c r="B22" s="66"/>
      <c r="C22" s="66"/>
      <c r="D22" s="75"/>
    </row>
    <row r="23" spans="2:4">
      <c r="B23" s="66"/>
      <c r="C23" s="66"/>
      <c r="D23" s="75"/>
    </row>
    <row r="24" spans="2:4">
      <c r="B24" s="66"/>
      <c r="C24" s="66"/>
      <c r="D24" s="75"/>
    </row>
    <row r="25" spans="2:4">
      <c r="B25" s="66"/>
      <c r="C25" s="66"/>
      <c r="D25" s="75"/>
    </row>
    <row r="26" spans="2:4">
      <c r="B26" s="66"/>
      <c r="C26" s="66"/>
      <c r="D26" s="75"/>
    </row>
    <row r="27" spans="2:4">
      <c r="B27" s="66"/>
      <c r="C27" s="66"/>
      <c r="D27" s="75"/>
    </row>
    <row r="28" spans="2:4">
      <c r="B28" s="82"/>
      <c r="C28" s="82"/>
      <c r="D28" s="83"/>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ED974-D9EB-434C-9155-BAEFEF84BD62}">
  <dimension ref="B2:N29"/>
  <sheetViews>
    <sheetView workbookViewId="0">
      <pane xSplit="2" ySplit="2" topLeftCell="L3" activePane="bottomRight" state="frozen"/>
      <selection pane="bottomRight" activeCell="L2" sqref="L2"/>
      <selection pane="bottomLeft" activeCell="A4" sqref="A4"/>
      <selection pane="topRight" activeCell="A4" sqref="A4"/>
    </sheetView>
  </sheetViews>
  <sheetFormatPr defaultColWidth="8.85546875" defaultRowHeight="32.450000000000003" customHeight="1"/>
  <cols>
    <col min="1" max="1" width="8.85546875" style="1"/>
    <col min="2" max="2" width="23" style="1" customWidth="1"/>
    <col min="3" max="3" width="25.7109375" style="12" customWidth="1"/>
    <col min="4" max="4" width="17.42578125" style="12" customWidth="1"/>
    <col min="5" max="5" width="15.140625" style="12" customWidth="1"/>
    <col min="6" max="6" width="27.42578125" style="12" customWidth="1"/>
    <col min="7" max="7" width="14.28515625" style="1" customWidth="1"/>
    <col min="8" max="8" width="9.85546875" style="1" customWidth="1"/>
    <col min="9" max="9" width="25.140625" style="1" customWidth="1"/>
    <col min="10" max="10" width="23.42578125" style="9" customWidth="1"/>
    <col min="11" max="12" width="19.140625" style="9" customWidth="1"/>
    <col min="13" max="13" width="48" style="1" customWidth="1"/>
    <col min="14" max="14" width="33.28515625" style="1" customWidth="1"/>
    <col min="15" max="16384" width="8.85546875" style="1"/>
  </cols>
  <sheetData>
    <row r="2" spans="2:14" s="12" customFormat="1" ht="32.450000000000003" customHeight="1">
      <c r="B2" s="10" t="s">
        <v>0</v>
      </c>
      <c r="C2" s="10" t="s">
        <v>2</v>
      </c>
      <c r="D2" s="10" t="s">
        <v>1192</v>
      </c>
      <c r="E2" s="10" t="s">
        <v>7</v>
      </c>
      <c r="F2" s="10" t="s">
        <v>9</v>
      </c>
      <c r="G2" s="10" t="s">
        <v>11</v>
      </c>
      <c r="H2" s="10" t="s">
        <v>1193</v>
      </c>
      <c r="I2" s="10" t="s">
        <v>14</v>
      </c>
      <c r="J2" s="7" t="s">
        <v>15</v>
      </c>
      <c r="K2" s="7" t="s">
        <v>1194</v>
      </c>
      <c r="L2" s="7" t="s">
        <v>1195</v>
      </c>
      <c r="M2" s="10" t="s">
        <v>1196</v>
      </c>
      <c r="N2" s="10" t="s">
        <v>19</v>
      </c>
    </row>
    <row r="3" spans="2:14" ht="32.450000000000003" customHeight="1">
      <c r="B3" s="2" t="s">
        <v>1186</v>
      </c>
      <c r="C3" s="11"/>
      <c r="I3" s="2"/>
      <c r="J3" s="13"/>
      <c r="K3" s="8"/>
      <c r="L3" s="8"/>
    </row>
    <row r="4" spans="2:14" ht="32.450000000000003" customHeight="1">
      <c r="B4" s="2" t="s">
        <v>1187</v>
      </c>
      <c r="C4" s="11"/>
      <c r="D4" s="11"/>
      <c r="E4" s="11"/>
      <c r="F4" s="11"/>
      <c r="G4" s="2"/>
      <c r="H4" s="2"/>
      <c r="I4" s="2"/>
      <c r="J4" s="8"/>
      <c r="K4" s="8"/>
      <c r="L4" s="8"/>
      <c r="M4" s="2"/>
    </row>
    <row r="5" spans="2:14" ht="32.450000000000003" customHeight="1">
      <c r="B5" s="2" t="s">
        <v>1188</v>
      </c>
      <c r="C5" s="11"/>
      <c r="I5" s="2"/>
      <c r="J5" s="13"/>
      <c r="K5" s="8"/>
      <c r="L5" s="8"/>
    </row>
    <row r="6" spans="2:14" ht="32.450000000000003" customHeight="1">
      <c r="B6" s="2" t="s">
        <v>1189</v>
      </c>
      <c r="C6" s="11"/>
      <c r="G6" s="2"/>
      <c r="J6" s="13"/>
    </row>
    <row r="7" spans="2:14" ht="131.25" customHeight="1">
      <c r="B7" s="2" t="s">
        <v>223</v>
      </c>
      <c r="C7" s="11"/>
      <c r="D7" s="11"/>
      <c r="E7" s="11"/>
      <c r="F7" s="11"/>
      <c r="G7" s="2"/>
      <c r="H7" s="2"/>
      <c r="I7" s="2"/>
      <c r="J7" s="8"/>
      <c r="K7" s="8"/>
      <c r="L7" s="8"/>
      <c r="M7" s="2"/>
    </row>
    <row r="8" spans="2:14" ht="159" customHeight="1">
      <c r="B8" s="2" t="s">
        <v>231</v>
      </c>
      <c r="C8" s="11"/>
      <c r="D8" s="11"/>
      <c r="E8" s="11"/>
      <c r="F8" s="11"/>
      <c r="G8" s="2"/>
      <c r="H8" s="2"/>
      <c r="I8" s="2"/>
      <c r="J8" s="13"/>
      <c r="K8" s="8"/>
      <c r="L8" s="8"/>
      <c r="M8" s="4"/>
    </row>
    <row r="9" spans="2:14" ht="32.450000000000003" customHeight="1">
      <c r="B9" s="2" t="s">
        <v>1190</v>
      </c>
      <c r="C9" s="11"/>
      <c r="D9" s="11"/>
      <c r="E9" s="11"/>
      <c r="F9" s="11"/>
      <c r="G9" s="2"/>
      <c r="H9" s="2"/>
      <c r="I9" s="2"/>
      <c r="J9" s="8"/>
      <c r="K9" s="8"/>
      <c r="L9" s="8"/>
      <c r="M9" s="2"/>
    </row>
    <row r="10" spans="2:14" ht="32.450000000000003" customHeight="1">
      <c r="B10" s="2" t="s">
        <v>1191</v>
      </c>
      <c r="C10" s="11"/>
      <c r="M10" s="4"/>
    </row>
    <row r="11" spans="2:14" ht="32.450000000000003" customHeight="1">
      <c r="B11" s="2"/>
      <c r="C11" s="11"/>
      <c r="D11" s="11"/>
      <c r="E11" s="11"/>
      <c r="F11" s="11"/>
      <c r="G11" s="2"/>
      <c r="H11" s="2"/>
      <c r="I11" s="2"/>
      <c r="J11" s="8"/>
      <c r="K11" s="8"/>
      <c r="L11" s="8"/>
      <c r="M11" s="4"/>
    </row>
    <row r="12" spans="2:14" ht="72" customHeight="1">
      <c r="B12" s="2"/>
      <c r="C12" s="11"/>
      <c r="I12" s="2"/>
      <c r="J12" s="13"/>
      <c r="K12" s="8"/>
      <c r="L12" s="8"/>
      <c r="M12" s="63"/>
      <c r="N12" s="21"/>
    </row>
    <row r="13" spans="2:14" ht="32.450000000000003" customHeight="1">
      <c r="B13" s="2"/>
      <c r="C13" s="11"/>
      <c r="J13" s="13"/>
    </row>
    <row r="14" spans="2:14" ht="150" customHeight="1">
      <c r="B14" s="2"/>
      <c r="C14" s="11"/>
      <c r="I14" s="2"/>
      <c r="J14" s="8"/>
      <c r="K14" s="8"/>
      <c r="L14" s="8"/>
      <c r="N14" s="21"/>
    </row>
    <row r="15" spans="2:14" ht="120.75" customHeight="1">
      <c r="B15" s="2"/>
      <c r="C15" s="11"/>
      <c r="G15" s="2"/>
      <c r="I15" s="2"/>
      <c r="J15" s="8"/>
      <c r="K15" s="8"/>
      <c r="L15" s="8"/>
    </row>
    <row r="16" spans="2:14" ht="225.75" customHeight="1">
      <c r="B16" s="2"/>
      <c r="C16" s="11"/>
      <c r="I16" s="2"/>
      <c r="J16" s="13"/>
      <c r="K16" s="8"/>
      <c r="L16" s="8"/>
    </row>
    <row r="17" spans="2:13" ht="73.5" customHeight="1">
      <c r="B17" s="2"/>
      <c r="C17" s="11"/>
      <c r="D17" s="11"/>
      <c r="E17" s="11"/>
      <c r="F17" s="11"/>
      <c r="G17" s="2"/>
      <c r="H17" s="2"/>
      <c r="I17" s="2"/>
      <c r="J17" s="13"/>
      <c r="K17" s="8"/>
      <c r="L17" s="8"/>
    </row>
    <row r="18" spans="2:13" ht="73.5" customHeight="1">
      <c r="B18" s="2"/>
      <c r="C18" s="11"/>
      <c r="D18" s="11"/>
      <c r="E18" s="11"/>
      <c r="F18" s="11"/>
      <c r="G18" s="2"/>
      <c r="H18" s="2"/>
      <c r="I18" s="2"/>
      <c r="J18" s="13"/>
      <c r="K18" s="8"/>
      <c r="L18" s="8"/>
      <c r="M18" s="2"/>
    </row>
    <row r="19" spans="2:13" s="15" customFormat="1" ht="32.450000000000003" customHeight="1">
      <c r="C19" s="16"/>
      <c r="D19" s="20"/>
      <c r="E19" s="16"/>
      <c r="F19" s="16"/>
      <c r="J19" s="17"/>
      <c r="K19" s="17"/>
      <c r="L19" s="17"/>
    </row>
    <row r="20" spans="2:13" s="15" customFormat="1" ht="32.450000000000003" customHeight="1">
      <c r="C20" s="16"/>
      <c r="D20" s="20"/>
      <c r="E20" s="16"/>
      <c r="F20" s="16"/>
      <c r="J20" s="17"/>
      <c r="K20" s="17"/>
      <c r="L20" s="17"/>
    </row>
    <row r="21" spans="2:13" s="15" customFormat="1" ht="32.450000000000003" customHeight="1">
      <c r="C21" s="16"/>
      <c r="D21" s="20"/>
      <c r="E21" s="16"/>
      <c r="F21" s="16"/>
      <c r="J21" s="17"/>
      <c r="K21" s="17"/>
      <c r="L21" s="17"/>
    </row>
    <row r="22" spans="2:13" ht="32.450000000000003" customHeight="1">
      <c r="B22" s="2"/>
      <c r="C22" s="11"/>
      <c r="D22" s="18"/>
      <c r="E22" s="11"/>
      <c r="F22" s="11"/>
      <c r="G22" s="2"/>
      <c r="H22" s="2"/>
      <c r="I22" s="2"/>
      <c r="J22" s="19"/>
      <c r="K22" s="8"/>
      <c r="L22" s="8"/>
      <c r="M22" s="2"/>
    </row>
    <row r="23" spans="2:13" ht="32.450000000000003" customHeight="1">
      <c r="B23" s="2"/>
      <c r="C23" s="11"/>
      <c r="I23" s="2"/>
      <c r="J23" s="8"/>
      <c r="K23" s="8"/>
      <c r="L23" s="8"/>
    </row>
    <row r="24" spans="2:13" ht="32.450000000000003" customHeight="1">
      <c r="B24" s="2"/>
      <c r="C24" s="11"/>
      <c r="I24" s="2"/>
      <c r="J24" s="8"/>
      <c r="K24" s="8"/>
      <c r="L24" s="8"/>
    </row>
    <row r="25" spans="2:13" ht="63" customHeight="1">
      <c r="B25" s="2"/>
      <c r="C25" s="11"/>
      <c r="D25" s="11"/>
      <c r="E25" s="11"/>
      <c r="F25" s="11"/>
      <c r="G25" s="2"/>
      <c r="H25" s="2"/>
      <c r="I25" s="2"/>
      <c r="J25" s="13"/>
      <c r="K25" s="8"/>
      <c r="L25" s="8"/>
      <c r="M25" s="4"/>
    </row>
    <row r="26" spans="2:13" ht="32.450000000000003" customHeight="1">
      <c r="B26" s="2"/>
      <c r="C26" s="11"/>
      <c r="D26" s="11"/>
      <c r="E26" s="11"/>
      <c r="F26" s="11"/>
      <c r="G26" s="2"/>
      <c r="H26" s="2"/>
      <c r="I26" s="2"/>
      <c r="J26" s="8"/>
      <c r="K26" s="8"/>
      <c r="L26" s="8"/>
      <c r="M26" s="2"/>
    </row>
    <row r="29" spans="2:13" ht="32.450000000000003" customHeight="1">
      <c r="J29" s="1"/>
    </row>
  </sheetData>
  <dataValidations count="1">
    <dataValidation type="list" allowBlank="1" showInputMessage="1" showErrorMessage="1" sqref="C3:C26" xr:uid="{12F4C5B1-4A81-4DA8-A8EF-C91B6E1BB0E8}">
      <formula1>#REF!</formula1>
    </dataValidation>
  </dataValidations>
  <pageMargins left="0.7" right="0.7" top="0.75" bottom="0.75" header="0.3" footer="0.3"/>
  <pageSetup orientation="portrait"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C15F-EF0F-425F-89B1-258A2186994A}">
  <dimension ref="A1:A22"/>
  <sheetViews>
    <sheetView workbookViewId="0">
      <selection activeCell="D16" sqref="D16"/>
    </sheetView>
  </sheetViews>
  <sheetFormatPr defaultRowHeight="14.45"/>
  <cols>
    <col min="1" max="1" width="21.28515625" bestFit="1" customWidth="1"/>
  </cols>
  <sheetData>
    <row r="1" spans="1:1">
      <c r="A1" s="200" t="s">
        <v>1097</v>
      </c>
    </row>
    <row r="2" spans="1:1">
      <c r="A2" s="200" t="s">
        <v>382</v>
      </c>
    </row>
    <row r="3" spans="1:1">
      <c r="A3" s="200" t="s">
        <v>1099</v>
      </c>
    </row>
    <row r="4" spans="1:1">
      <c r="A4" s="200" t="s">
        <v>393</v>
      </c>
    </row>
    <row r="5" spans="1:1">
      <c r="A5" s="200" t="s">
        <v>618</v>
      </c>
    </row>
    <row r="6" spans="1:1">
      <c r="A6" s="200" t="s">
        <v>389</v>
      </c>
    </row>
    <row r="7" spans="1:1">
      <c r="A7" t="s">
        <v>1197</v>
      </c>
    </row>
    <row r="8" spans="1:1">
      <c r="A8" s="200" t="s">
        <v>1198</v>
      </c>
    </row>
    <row r="9" spans="1:1">
      <c r="A9" s="200" t="s">
        <v>628</v>
      </c>
    </row>
    <row r="10" spans="1:1">
      <c r="A10" s="200" t="s">
        <v>1111</v>
      </c>
    </row>
    <row r="11" spans="1:1">
      <c r="A11" s="200" t="s">
        <v>420</v>
      </c>
    </row>
    <row r="12" spans="1:1">
      <c r="A12" s="200" t="s">
        <v>1084</v>
      </c>
    </row>
    <row r="13" spans="1:1">
      <c r="A13" s="200" t="s">
        <v>721</v>
      </c>
    </row>
    <row r="14" spans="1:1">
      <c r="A14" s="200" t="s">
        <v>1082</v>
      </c>
    </row>
    <row r="15" spans="1:1">
      <c r="A15" s="200" t="s">
        <v>400</v>
      </c>
    </row>
    <row r="16" spans="1:1">
      <c r="A16" s="200" t="s">
        <v>1093</v>
      </c>
    </row>
    <row r="17" spans="1:1">
      <c r="A17" s="200" t="s">
        <v>1103</v>
      </c>
    </row>
    <row r="18" spans="1:1">
      <c r="A18" s="200" t="s">
        <v>1090</v>
      </c>
    </row>
    <row r="19" spans="1:1">
      <c r="A19" s="200" t="s">
        <v>619</v>
      </c>
    </row>
    <row r="20" spans="1:1">
      <c r="A20" s="200" t="s">
        <v>1199</v>
      </c>
    </row>
    <row r="21" spans="1:1">
      <c r="A21" s="200" t="s">
        <v>1086</v>
      </c>
    </row>
    <row r="22" spans="1:1">
      <c r="A22" s="200" t="s">
        <v>1200</v>
      </c>
    </row>
  </sheetData>
  <sortState xmlns:xlrd2="http://schemas.microsoft.com/office/spreadsheetml/2017/richdata2" ref="A1:A1048576">
    <sortCondition ref="A1:A1048576"/>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d7d97e19-c311-46ba-8f31-b58bc8a3e09f">
      <UserInfo>
        <DisplayName>Bird, Jacob</DisplayName>
        <AccountId>19455</AccountId>
        <AccountType/>
      </UserInfo>
      <UserInfo>
        <DisplayName>Goddard-Brown, Christine</DisplayName>
        <AccountId>2925</AccountId>
        <AccountType/>
      </UserInfo>
      <UserInfo>
        <DisplayName>Pinto, Dominic</DisplayName>
        <AccountId>4089</AccountId>
        <AccountType/>
      </UserInfo>
      <UserInfo>
        <DisplayName>Gupta, Saurabh</DisplayName>
        <AccountId>1547</AccountId>
        <AccountType/>
      </UserInfo>
      <UserInfo>
        <DisplayName>Rawson, Jeff</DisplayName>
        <AccountId>1169</AccountId>
        <AccountType/>
      </UserInfo>
    </SharedWithUsers>
    <TaxCatchAll xmlns="4bbfe9a5-ab18-40e5-a160-9730098efde3" xsi:nil="true"/>
    <lcf76f155ced4ddcb4097134ff3c332f xmlns="b42111c0-6197-4a7a-aaf7-5db0e86e8eab">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64D8D444BE0A349B420B80CBBDE603E" ma:contentTypeVersion="16" ma:contentTypeDescription="Create a new document." ma:contentTypeScope="" ma:versionID="71f6a4f1b61bc0e7cd5f53d9423e691a">
  <xsd:schema xmlns:xsd="http://www.w3.org/2001/XMLSchema" xmlns:xs="http://www.w3.org/2001/XMLSchema" xmlns:p="http://schemas.microsoft.com/office/2006/metadata/properties" xmlns:ns1="http://schemas.microsoft.com/sharepoint/v3" xmlns:ns2="b42111c0-6197-4a7a-aaf7-5db0e86e8eab" xmlns:ns3="d7d97e19-c311-46ba-8f31-b58bc8a3e09f" xmlns:ns4="4bbfe9a5-ab18-40e5-a160-9730098efde3" targetNamespace="http://schemas.microsoft.com/office/2006/metadata/properties" ma:root="true" ma:fieldsID="59a158c383d623886d50723f5695a8ac" ns1:_="" ns2:_="" ns3:_="" ns4:_="">
    <xsd:import namespace="http://schemas.microsoft.com/sharepoint/v3"/>
    <xsd:import namespace="b42111c0-6197-4a7a-aaf7-5db0e86e8eab"/>
    <xsd:import namespace="d7d97e19-c311-46ba-8f31-b58bc8a3e09f"/>
    <xsd:import namespace="4bbfe9a5-ab18-40e5-a160-9730098efd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element ref="ns2:lcf76f155ced4ddcb4097134ff3c332f" minOccurs="0"/>
                <xsd:element ref="ns4: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2111c0-6197-4a7a-aaf7-5db0e86e8e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a1ca624d-b4a9-42dd-899a-cc27a760d5fa"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7d97e19-c311-46ba-8f31-b58bc8a3e09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bbfe9a5-ab18-40e5-a160-9730098efde3"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13f427d0-b5e7-4665-ad05-782b9297cafd}" ma:internalName="TaxCatchAll" ma:showField="CatchAllData" ma:web="74c03dce-ec86-4fae-b0a1-5ae7f06280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8C09EE3-6495-4678-8C5B-692F9B8447E1}"/>
</file>

<file path=customXml/itemProps2.xml><?xml version="1.0" encoding="utf-8"?>
<ds:datastoreItem xmlns:ds="http://schemas.openxmlformats.org/officeDocument/2006/customXml" ds:itemID="{3438B63F-2CBE-4C4E-985B-95B35D989E13}"/>
</file>

<file path=customXml/itemProps3.xml><?xml version="1.0" encoding="utf-8"?>
<ds:datastoreItem xmlns:ds="http://schemas.openxmlformats.org/officeDocument/2006/customXml" ds:itemID="{90380CDF-DF21-4A80-A3CE-28F03BADAF1F}"/>
</file>

<file path=docMetadata/LabelInfo.xml><?xml version="1.0" encoding="utf-8"?>
<clbl:labelList xmlns:clbl="http://schemas.microsoft.com/office/2020/mipLabelMetadata">
  <clbl:label id="{d1b7f118-5cb2-4d4e-85a3-82e07efb07e9}" enabled="0" method="" siteId="{d1b7f118-5cb2-4d4e-85a3-82e07efb07e9}"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Denise Lunn</dc:creator>
  <cp:keywords/>
  <dc:description/>
  <cp:lastModifiedBy/>
  <cp:revision/>
  <dcterms:created xsi:type="dcterms:W3CDTF">2022-10-24T15:32:57Z</dcterms:created>
  <dcterms:modified xsi:type="dcterms:W3CDTF">2025-11-22T13:39:37Z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0x010100D64D8D444BE0A349B420B80CBBDE603E</vt:lpwstr>
  </property>
  <property fmtid="{D5CDD505-2E9C-101B-9397-08002B2CF9AE}" pid="3" name="MediaServiceImageTags">
    <vt:lpwstr/>
  </property>
</Properties>
</file>