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ciww-my.sharepoint.com/personal/oscar_herrera_aciworldwide_com/Documents/Documents/PIR/"/>
    </mc:Choice>
  </mc:AlternateContent>
  <xr:revisionPtr revIDLastSave="301" documentId="8_{EEE71B00-8EA0-4B2D-AE09-15BEA9DF57D0}" xr6:coauthVersionLast="47" xr6:coauthVersionMax="47" xr10:uidLastSave="{F440CE25-DFA4-4409-8965-EC263FBCA70D}"/>
  <bookViews>
    <workbookView xWindow="28680" yWindow="-120" windowWidth="29040" windowHeight="15720" activeTab="2" xr2:uid="{50D3B3AC-B336-495F-87BE-3FF119839350}"/>
  </bookViews>
  <sheets>
    <sheet name="00 Executive Dashboard Program" sheetId="2" r:id="rId1"/>
    <sheet name="Project Meeting Minutes" sheetId="3" r:id="rId2"/>
    <sheet name="Sprint Backlog" sheetId="5" r:id="rId3"/>
    <sheet name="Budget" sheetId="6" r:id="rId4"/>
    <sheet name="Release Schedule" sheetId="7" r:id="rId5"/>
  </sheets>
  <definedNames>
    <definedName name="_xlnm._FilterDatabase" localSheetId="2" hidden="1">'Sprint Backlog'!$A$3:$K$34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6" l="1"/>
  <c r="G27" i="6" s="1"/>
  <c r="G38" i="6"/>
  <c r="F36" i="6"/>
  <c r="E36" i="6"/>
  <c r="Z30" i="6"/>
  <c r="E23" i="6"/>
  <c r="D23" i="6"/>
  <c r="Z8" i="6"/>
</calcChain>
</file>

<file path=xl/sharedStrings.xml><?xml version="1.0" encoding="utf-8"?>
<sst xmlns="http://schemas.openxmlformats.org/spreadsheetml/2006/main" count="476" uniqueCount="301">
  <si>
    <t xml:space="preserve">PORTFOLIO — EXECUTIVE DASHBOARD </t>
  </si>
  <si>
    <t>As of:</t>
  </si>
  <si>
    <t>Key:</t>
  </si>
  <si>
    <t>On Track</t>
  </si>
  <si>
    <t>At Risk</t>
  </si>
  <si>
    <t>Delayed</t>
  </si>
  <si>
    <t>Done</t>
  </si>
  <si>
    <t>Project % Complete</t>
  </si>
  <si>
    <t>Schedule Status</t>
  </si>
  <si>
    <t>Overall Status</t>
  </si>
  <si>
    <t>Client Satisfaction</t>
  </si>
  <si>
    <t>A. Overview</t>
  </si>
  <si>
    <r>
      <rPr>
        <b/>
        <sz val="11"/>
        <color theme="1"/>
        <rFont val="Aptos Narrow"/>
        <family val="2"/>
        <scheme val="minor"/>
      </rPr>
      <t>Contract Updates</t>
    </r>
    <r>
      <rPr>
        <sz val="11"/>
        <color theme="1"/>
        <rFont val="Aptos Narrow"/>
        <family val="2"/>
        <scheme val="minor"/>
      </rPr>
      <t>: All contractual documents have been updated, except for Schedule 15, which is pending approval from GD; Waiting for a final update from Kirk Walters.</t>
    </r>
  </si>
  <si>
    <r>
      <rPr>
        <b/>
        <sz val="11"/>
        <color theme="1"/>
        <rFont val="Aptos Narrow"/>
        <family val="2"/>
        <scheme val="minor"/>
      </rPr>
      <t>Exception File Update</t>
    </r>
    <r>
      <rPr>
        <sz val="11"/>
        <color theme="1"/>
        <rFont val="Aptos Narrow"/>
        <family val="2"/>
        <scheme val="minor"/>
      </rPr>
      <t>: Configuration changes related to SAD data and enrichment of event logs PR182 and PR 183 deployed in UAT1. Green Dot is testing from 10/20 to 11/20. </t>
    </r>
  </si>
  <si>
    <r>
      <rPr>
        <b/>
        <sz val="11"/>
        <color theme="1"/>
        <rFont val="Aptos Narrow"/>
        <family val="2"/>
        <scheme val="minor"/>
      </rPr>
      <t>Backlog Reduction:</t>
    </r>
    <r>
      <rPr>
        <sz val="11"/>
        <color theme="1"/>
        <rFont val="Aptos Narrow"/>
        <family val="2"/>
        <scheme val="minor"/>
      </rPr>
      <t xml:space="preserve"> Bug Fest continues, with L2 and L3 teams focused on analyzing and clearing backlog cases. 72 cases have been resolved, in October alone with 60 (includes cases for all teams) overall cases being opened to be added to the Backlog. The team will continue triaging and addressing issues to maintain momentum.</t>
    </r>
  </si>
  <si>
    <t>B.Workstream Highlights</t>
  </si>
  <si>
    <t>C. Next Steps</t>
  </si>
  <si>
    <t>PCS Delivery Date</t>
  </si>
  <si>
    <t>SBB Go-live Date</t>
  </si>
  <si>
    <t>Days to Go Live</t>
  </si>
  <si>
    <t>Workstreams</t>
  </si>
  <si>
    <t>Case Number</t>
  </si>
  <si>
    <t>H24 Case Number</t>
  </si>
  <si>
    <t>RTPS</t>
  </si>
  <si>
    <t>Defect Title</t>
  </si>
  <si>
    <t>Severity/Priority</t>
  </si>
  <si>
    <t>ACI Status</t>
  </si>
  <si>
    <t>Planned Delivery Date</t>
  </si>
  <si>
    <t>Comments</t>
  </si>
  <si>
    <t>Assignee</t>
  </si>
  <si>
    <t>ISO_Mar26</t>
  </si>
  <si>
    <t>Release Code Delivery</t>
  </si>
  <si>
    <t>App Config Delivery Date</t>
  </si>
  <si>
    <t xml:space="preserve">First Horizon MTS ISO-20022  - Schedule 5 @ $225/hr  Expires 24 Feb 2024
 </t>
  </si>
  <si>
    <t>Description</t>
  </si>
  <si>
    <t>Oracle Number</t>
  </si>
  <si>
    <t>Original Est Low Hours</t>
  </si>
  <si>
    <t>Contingency Hours</t>
  </si>
  <si>
    <t>Actual Hours through 4/10/2024</t>
  </si>
  <si>
    <t>Hours Burned Current Month ()</t>
  </si>
  <si>
    <t xml:space="preserve">Estimate to Complete
</t>
  </si>
  <si>
    <t>Estimate at Completion</t>
  </si>
  <si>
    <t>Variance to Original High Estimate</t>
  </si>
  <si>
    <t>Hours Invoiced to date @ $225/hr</t>
  </si>
  <si>
    <t xml:space="preserve"> MTS ISO-20022  - Sch 5</t>
  </si>
  <si>
    <t xml:space="preserve"> </t>
  </si>
  <si>
    <t>TOTAL</t>
  </si>
  <si>
    <t>Actual</t>
  </si>
  <si>
    <t>Forecast ISO</t>
  </si>
  <si>
    <t>Forecast Email Mask, Repet from BBOL, REL Addr</t>
  </si>
  <si>
    <t>Travel Rule Dev 55.06</t>
  </si>
  <si>
    <t>MTS Link coding
UP Install</t>
  </si>
  <si>
    <t>MTS Link Code
June SP delivery</t>
  </si>
  <si>
    <t>July SP delivery</t>
  </si>
  <si>
    <t>July FP 2 delivery</t>
  </si>
  <si>
    <t>July FP 4 delivery</t>
  </si>
  <si>
    <t>July FP 5 delivery</t>
  </si>
  <si>
    <t>Technical Go Live</t>
  </si>
  <si>
    <t>Go Live
Took the March SP</t>
  </si>
  <si>
    <t>Deployed 6.8.67 to PROD</t>
  </si>
  <si>
    <t>Took 6.8.71</t>
  </si>
  <si>
    <t>CHANGE CONTROLS FOR SCHEDULE 05 - ORACLE CODE 114512</t>
  </si>
  <si>
    <t>Services  Oracle 114512</t>
  </si>
  <si>
    <t>Task Code</t>
  </si>
  <si>
    <t>High Budget</t>
  </si>
  <si>
    <t>Hours Used</t>
  </si>
  <si>
    <t>Est to Complete</t>
  </si>
  <si>
    <t xml:space="preserve">ISO 20022
</t>
  </si>
  <si>
    <t>55.01 +</t>
  </si>
  <si>
    <t>Email Masking</t>
  </si>
  <si>
    <t>Repetitive from BBOL to MTS</t>
  </si>
  <si>
    <t>REL Address Updates</t>
  </si>
  <si>
    <t>put EXCPPRTQ queue into sub history for OFC</t>
  </si>
  <si>
    <t>Travel Rule Development</t>
  </si>
  <si>
    <t>Travel Rule Services</t>
  </si>
  <si>
    <t>March SP Rework</t>
  </si>
  <si>
    <t>Actual Hours through 12/27/2025</t>
  </si>
  <si>
    <t>Estimate to Complete</t>
  </si>
  <si>
    <t>Hours Invoiced to date @ $260/hr</t>
  </si>
  <si>
    <t>Invoices Paid</t>
  </si>
  <si>
    <t>PRE-CONTRACT BUDGETS</t>
  </si>
  <si>
    <t>Subproject/
Oracle Nbr</t>
  </si>
  <si>
    <t>Precontract Hours</t>
  </si>
  <si>
    <t>Actual Hours Used to Date</t>
  </si>
  <si>
    <t>Approved Hours Remaining</t>
  </si>
  <si>
    <t>Percent Used</t>
  </si>
  <si>
    <t>Expiration Date</t>
  </si>
  <si>
    <t>MTS/RPI Entry Function Full Originator details required if any Originator details are present
FR-29547</t>
  </si>
  <si>
    <t>TRAVEL EXPENSES</t>
  </si>
  <si>
    <t>Project Name</t>
  </si>
  <si>
    <t>Oracle Nbr</t>
  </si>
  <si>
    <t>Amount</t>
  </si>
  <si>
    <t>Approve Date</t>
  </si>
  <si>
    <t>Invoice Date</t>
  </si>
  <si>
    <t>Invoice Nbr</t>
  </si>
  <si>
    <t>Team Member</t>
  </si>
  <si>
    <t>Purpose</t>
  </si>
  <si>
    <t xml:space="preserve">FUTURE PLANNED TRAVEL EXPENSES </t>
  </si>
  <si>
    <t>Est Amount</t>
  </si>
  <si>
    <t>Est Start Dt</t>
  </si>
  <si>
    <t>Est End Date</t>
  </si>
  <si>
    <t>State Street  Project Budget</t>
  </si>
  <si>
    <t xml:space="preserve">State Street Bank PCS SERVICES SCHEDULE No. 9
 </t>
  </si>
  <si>
    <t>Premium Customer Support</t>
  </si>
  <si>
    <t>Month</t>
  </si>
  <si>
    <t>MTS Code Base Availability Date</t>
  </si>
  <si>
    <t>MTS Release Name</t>
  </si>
  <si>
    <t>UPF Release Date</t>
  </si>
  <si>
    <t>ISO 20022 RTPS Solution Name</t>
  </si>
  <si>
    <t>March</t>
  </si>
  <si>
    <t xml:space="preserve">MTS 5.8.81.0/6.8.81.0 </t>
  </si>
  <si>
    <t>June</t>
  </si>
  <si>
    <t xml:space="preserve">MTS 5.8.82.0/6.8.82.0 </t>
  </si>
  <si>
    <t>ISO_Jun26</t>
  </si>
  <si>
    <t>September</t>
  </si>
  <si>
    <t>MTS 5.8.83.0/6.8.83.0</t>
  </si>
  <si>
    <t>ISO_Sep26</t>
  </si>
  <si>
    <t>December</t>
  </si>
  <si>
    <t xml:space="preserve">MTS 5.8.84.0/6.8.84.0 </t>
  </si>
  <si>
    <t>ISO_Dec26</t>
  </si>
  <si>
    <t>ABA Support a New Fedwire  SSD</t>
  </si>
  <si>
    <t>Transact MPA lines - new (Risk Requirement)</t>
  </si>
  <si>
    <t>Intercompany Bank Setlements - new (Serial Cover Req)</t>
  </si>
  <si>
    <t>Transact MPA lines</t>
  </si>
  <si>
    <t xml:space="preserve">Transact MPA Multiple Lines </t>
  </si>
  <si>
    <t xml:space="preserve">Intercompany Bank Setlements </t>
  </si>
  <si>
    <t>Feb 13th</t>
  </si>
  <si>
    <t>TBD</t>
  </si>
  <si>
    <t>Jan 31th</t>
  </si>
  <si>
    <t>Early Feb</t>
  </si>
  <si>
    <t>Feb 15th</t>
  </si>
  <si>
    <t>May</t>
  </si>
  <si>
    <t>Paul</t>
  </si>
  <si>
    <t xml:space="preserve"> 03711383</t>
  </si>
  <si>
    <t>H24-658385</t>
  </si>
  <si>
    <t xml:space="preserve"> RTPS-107058</t>
  </si>
  <si>
    <t>Reverse Posting for Functional cancel doesn't happen for Bank Adapter/Manual Create messages for Transact accounts</t>
  </si>
  <si>
    <t>Major</t>
  </si>
  <si>
    <t>In Progres</t>
  </si>
  <si>
    <t>Functional cancellations trapping for all Book To Book Transfer transactions in State Street Domestic</t>
  </si>
  <si>
    <t>RTPS-107299</t>
  </si>
  <si>
    <t>RTPS-106894</t>
  </si>
  <si>
    <t>Project</t>
  </si>
  <si>
    <t>MPA new Lines</t>
  </si>
  <si>
    <t>SSB Cancellations -&gt; Reverse bookings is not happening for upon cancellations</t>
  </si>
  <si>
    <t>Closed</t>
  </si>
  <si>
    <t>Tested -</t>
  </si>
  <si>
    <t>RTPS-106764</t>
  </si>
  <si>
    <t>SSC - US Boston (SSB) : Bank request for multiple parallel AUT/POST lines for Transact</t>
  </si>
  <si>
    <t>03711383</t>
  </si>
  <si>
    <t>MPA multiple lines</t>
  </si>
  <si>
    <t>Minor</t>
  </si>
  <si>
    <t>Neethu</t>
  </si>
  <si>
    <t>Sai</t>
  </si>
  <si>
    <t>Tejas</t>
  </si>
  <si>
    <t>High</t>
  </si>
  <si>
    <t>Awaiting Customer Action</t>
  </si>
  <si>
    <t>ISO 20022: UPF Control Center - Super1 Login - "null"</t>
  </si>
  <si>
    <t xml:space="preserve">03777412 </t>
  </si>
  <si>
    <t>H24-716063</t>
  </si>
  <si>
    <t>Amit</t>
  </si>
  <si>
    <t>03749089</t>
  </si>
  <si>
    <t>RPH-US instance RTPS : New Requirement for Intercompany Bank Settlement DDA</t>
  </si>
  <si>
    <t>H24-692138</t>
  </si>
  <si>
    <t>RTPS-106276</t>
  </si>
  <si>
    <t>Bank Settlement DDA</t>
  </si>
  <si>
    <t>RTPS-85173</t>
  </si>
  <si>
    <t>Open</t>
  </si>
  <si>
    <t>Test 100 Cases</t>
  </si>
  <si>
    <t>Low</t>
  </si>
  <si>
    <t xml:space="preserve"> 03748411</t>
  </si>
  <si>
    <t>H24-691549</t>
  </si>
  <si>
    <t>Ent ISO - Target2 - Inbound CAMT025 Receipt not mapping with Outbound CAMT050 Liquidity Credit Transfer message</t>
  </si>
  <si>
    <t>Ready for Dev</t>
  </si>
  <si>
    <t>Mamatha Govindaraju</t>
  </si>
  <si>
    <t>RTPS-106930</t>
  </si>
  <si>
    <t>Outbound CAMT050 MX Message - SAA Header Section populated with incorrect values under certain data elements.</t>
  </si>
  <si>
    <t>Padmasri Mudugonda</t>
  </si>
  <si>
    <t>RTPS-107894</t>
  </si>
  <si>
    <t>03757391</t>
  </si>
  <si>
    <t>H24-699334</t>
  </si>
  <si>
    <t>ACK TRN's are not received in MTS and matched with original outbound transaction</t>
  </si>
  <si>
    <t>RTPS-107959</t>
  </si>
  <si>
    <t xml:space="preserve">03757393 </t>
  </si>
  <si>
    <t>H24-699336</t>
  </si>
  <si>
    <t>Outbound PACS009 with Receiver/Cdtr Agt - BCITITMMXXX is routed to EXCQ due to TGT Channel Derivation issue.</t>
  </si>
  <si>
    <t>RTPS-107184</t>
  </si>
  <si>
    <t>2026 Mandates (March Release)</t>
  </si>
  <si>
    <t>RTPS-105098</t>
  </si>
  <si>
    <t>RTPS-106826</t>
  </si>
  <si>
    <t>03771976</t>
  </si>
  <si>
    <t>H24-711312</t>
  </si>
  <si>
    <t>CHIPS ISO Inbound - Field 72 OBI/BBI long characters</t>
  </si>
  <si>
    <t>Field 72 - Need sequencing changes in the data shown in Field Tag 72 of the MT910 Credit Confirmation sent out by MTS</t>
  </si>
  <si>
    <t>As per bank's request we will be keeping this on hold till Feb 13. </t>
  </si>
  <si>
    <t>Katheeja</t>
  </si>
  <si>
    <t xml:space="preserve"> RTPS-106921</t>
  </si>
  <si>
    <t>03775326</t>
  </si>
  <si>
    <t>H24-714233</t>
  </si>
  <si>
    <t>CHAPS-LEI is not retained in the credit payment text where its mandatory for the regulations</t>
  </si>
  <si>
    <t>Anindya Ganguly</t>
  </si>
  <si>
    <t>sai</t>
  </si>
  <si>
    <t>RTPS-107539</t>
  </si>
  <si>
    <t>RTPS-107540</t>
  </si>
  <si>
    <t>03781262</t>
  </si>
  <si>
    <t>03781260</t>
  </si>
  <si>
    <t>H24-719521</t>
  </si>
  <si>
    <t>H24-719519</t>
  </si>
  <si>
    <t>MTS routing issue: Payment flagged for TRS still routed to Hogan queue (DDA_AUTQ)</t>
  </si>
  <si>
    <t>Transact MPA lines Login request contains junk characters for Transact Accounts</t>
  </si>
  <si>
    <t> Jitendra Gupta</t>
  </si>
  <si>
    <t>03754982</t>
  </si>
  <si>
    <t>H24-697226</t>
  </si>
  <si>
    <t>Wait-Posting event not sent for messages with source BTR from MTS to UPF(Domestic)</t>
  </si>
  <si>
    <t>Jan 29 bank confirmed be closed Tejas will closed and send mail bank to bank</t>
  </si>
  <si>
    <t>HKICL RTGS Dual Network Channel Requirement</t>
  </si>
  <si>
    <t>'03640399</t>
  </si>
  <si>
    <t>H24-595902</t>
  </si>
  <si>
    <t>Payments Canada / Lynx mandatesmail sent by Scott to Bank  request (jan27)</t>
  </si>
  <si>
    <t>jan 29  Mayjane answer mail to Scott with the info, Scott resent to Amy H product</t>
  </si>
  <si>
    <t>Scott</t>
  </si>
  <si>
    <t xml:space="preserve">Venkata - Can BankAdapter consume FedWire format message as is for Non-Pass Through/Pass Through Model  </t>
  </si>
  <si>
    <t>jan 26 Amit will send mail on this today</t>
  </si>
  <si>
    <t>UPF</t>
  </si>
  <si>
    <t>New Requirement for RISK Queue</t>
  </si>
  <si>
    <t xml:space="preserve">New Requirement[ Direct Cover Scenario] </t>
  </si>
  <si>
    <t>Target Cases</t>
  </si>
  <si>
    <t>CHIPS Cases</t>
  </si>
  <si>
    <t>Discussion Summary: Focus: Risk queue handling for Transact accounts after migration from Hogan; treatment of dormant/inactive accounts and “marked for deletion” behavior.</t>
  </si>
  <si>
    <t xml:space="preserve"> •	MPA testing- we need to conclude the pending issues to be ready for the test on Jan 31
UPF cases
•	03777412-ISO 20022: UPF Control Center - Super1 Login - "null" (Excalate to UPF engineer)
</t>
  </si>
  <si>
    <t>Wating Input  RTPS-107058</t>
  </si>
  <si>
    <t>03785212</t>
  </si>
  <si>
    <t>H24-722986</t>
  </si>
  <si>
    <t>Inquiry - MPA post interface changes</t>
  </si>
  <si>
    <t>Oscar</t>
  </si>
  <si>
    <t>x</t>
  </si>
  <si>
    <t>H24-709214</t>
  </si>
  <si>
    <t>SSG | MTS | Processes getting TRAPPED</t>
  </si>
  <si>
    <t/>
  </si>
  <si>
    <t>H24-723416</t>
  </si>
  <si>
    <t>Inquiry - Charges information configuration based on Source</t>
  </si>
  <si>
    <t>03785216</t>
  </si>
  <si>
    <t xml:space="preserve">H24-722988
</t>
  </si>
  <si>
    <t>03785363</t>
  </si>
  <si>
    <t xml:space="preserve">H24-723118
</t>
  </si>
  <si>
    <t>03785698</t>
  </si>
  <si>
    <t>SSC| MTS| FED Payments incorrectly routing through CHP</t>
  </si>
  <si>
    <t>Other cases</t>
  </si>
  <si>
    <t>Inquiry</t>
  </si>
  <si>
    <t>Other Cases</t>
  </si>
  <si>
    <t xml:space="preserve">Code Delivery  Feb 13 </t>
  </si>
  <si>
    <t>03757439/'03757445</t>
  </si>
  <si>
    <t>H24-699371/H24-699374</t>
  </si>
  <si>
    <t>Neethu/ Katheeja</t>
  </si>
  <si>
    <t>In Progress</t>
  </si>
  <si>
    <t>03779477</t>
  </si>
  <si>
    <t>H24-717875</t>
  </si>
  <si>
    <t>Control Center December Service Pack Installation Errors</t>
  </si>
  <si>
    <t>Feb 05 same status feb 04
Feb 04  release for march
Develope Prod assgned</t>
  </si>
  <si>
    <t>Feb 04 will update the ticket to closed
ACI configuration team have reviewed this concern, and this is confirmed to be ‘Working as Designed’. Please find the response from the team below.</t>
  </si>
  <si>
    <t>Feb 04 we received mail from bank related to analyze the implementation on this
Jan 19 Mayjane replayed that bank is analyzing on this will confirm at the end of jan</t>
  </si>
  <si>
    <t>Feb 05 need discuss with Jean to send the ticket for snapshoot to bank</t>
  </si>
  <si>
    <r>
      <t xml:space="preserve">This week, our primary focus is on the daily tracking and documentation of cases, as well as ensuring consistency in RTPS case updates across the team.The key areas of focus are as follows:
</t>
    </r>
    <r>
      <rPr>
        <b/>
        <sz val="11"/>
        <rFont val="Calibri"/>
        <family val="2"/>
      </rPr>
      <t>-Project release for testing</t>
    </r>
    <r>
      <rPr>
        <sz val="11"/>
        <rFont val="Calibri"/>
        <family val="2"/>
      </rPr>
      <t xml:space="preserve">
New MPA lines: These have already been released, and Neethu and Katheeja  advanced 50%  due date feb 10th
MPA lines: Pending release. Sai / Tejas  Testing  due data feb 10th.
Bank Settlement: Pending release, to start the testing (102) cases with an expected timeline of mid-February.
</t>
    </r>
    <r>
      <rPr>
        <b/>
        <sz val="11"/>
        <rFont val="Calibri"/>
        <family val="2"/>
      </rPr>
      <t>-Other pending cases:</t>
    </r>
    <r>
      <rPr>
        <sz val="11"/>
        <rFont val="Calibri"/>
        <family val="2"/>
      </rPr>
      <t xml:space="preserve">
--UPF Case:
    We had meeting this week to clarify the dudes after that meeting the bank bring resolution and recomendations to bank. 
</t>
    </r>
    <r>
      <rPr>
        <b/>
        <sz val="11"/>
        <rFont val="Calibri"/>
        <family val="2"/>
      </rPr>
      <t>--Target Cases:</t>
    </r>
    <r>
      <rPr>
        <sz val="11"/>
        <rFont val="Calibri"/>
        <family val="2"/>
      </rPr>
      <t xml:space="preserve">
     Two cases are with Product already scalated.
    Two cases are currently in the PCS process and are being recreated and reviewed with the SME.
</t>
    </r>
    <r>
      <rPr>
        <b/>
        <sz val="11"/>
        <rFont val="Calibri"/>
        <family val="2"/>
      </rPr>
      <t>--Chips Cases:</t>
    </r>
    <r>
      <rPr>
        <sz val="11"/>
        <rFont val="Calibri"/>
        <family val="2"/>
      </rPr>
      <t xml:space="preserve">
    We are currently awaiting a response from the bank. These cases have been placed on hold until February 13th.
</t>
    </r>
    <r>
      <rPr>
        <b/>
        <sz val="11"/>
        <rFont val="Calibri"/>
        <family val="2"/>
      </rPr>
      <t>--Additional RTPS Case:</t>
    </r>
    <r>
      <rPr>
        <sz val="11"/>
        <rFont val="Calibri"/>
        <family val="2"/>
      </rPr>
      <t xml:space="preserve">
   RTPS-107540 – Transact MPA lines Login request contains junk characters. A meeting with the developer is scheduled for February 2nd to review the reason the issue could not be recreated in ACI.</t>
    </r>
  </si>
  <si>
    <t>February 03,  SSB ACI # 03777412 ISO 20022: UPF Control Center - Super1 Login - "null"</t>
  </si>
  <si>
    <t xml:space="preserve"> Meeting Title: ACI # 03777412 ISO 20022: UPF Control Center - Super1 Login - "null"
Date: Feb 03 8 AM
Duration: ~40 minutes
Meeting Type: Technical Troubleshooting / Incident Review
Attendees
•	Adam Kneisel
•	Manjula Nalla
•	Tausif Patel
•	Paul Contreras
•	Oscar Herrera
________________________________________
Objective
To review and troubleshoot the BUAT Control Center login failure that occurred after data migration and MFA-related activities, and to identify possible root causes—specifically the potential impact of Dynatrace.
________________________________________
Background Summary
•	The Bank was working on implementing MFA in the BUAT environment.
•	During initial access to Control Center, the user management screen failed to render, producing a typical error seen when the Data Migrator has not run.
•	Manjula and Adam worked together to run the Data Migrator, encountering initial failures but eventually achieving a successful run with no errors.
•	Following the migration (Friday night), all login attempts failed on Monday morning, including access via the super user, returning a null error.
•	Multiple remediation attempts were made: 
o	Rebuilding the environment
o	New deployment
o	Running the Data Migrator multiple times
o	Updating the migrator properties file and re-importing data
•	Despite these actions, Control Center remains inaccessible.
________________________________________
Key Discussion Points
Environment &amp; Installation
•	The environment was previously running the June Service Pack.
•	A redeployment using the December Service Pack was completed successfully with no installation errors.
•	Database health was discussed and appears to be stable; current evidence does not indicate a DB-related issue.
Dynatrace Observation
•	Tausif noted that based on exception logs, the issue is likely not database-related.
•	A possible cause identified is the Dynatrace agent injecting special characters into response URLs, which may be breaking Control Center login.
•	This issue appears environment-specific, as other environments using Dynatrace do not show the same behavior.
Proposed Troubleshooting Approach
•	Temporarily disable Dynatrace in the BUAT environment.
•	Restart Control Center after disabling Dynatrace.
•	Attempt login post-restart to validate whether Dynatrace is the root cause.
•	If the issue persists without Dynatrace, further investigation will be required (logs review, escalation).
________________________________________
Decisions Made
•	✅ Proceed with disabling Dynatrace as the next troubleshooting step.
•	✅ Validate Control Center login functionality after Dynatrace is disabled.
•	✅ Share relevant logs and files as needed.
•	✅ Schedule a follow-up meeting on Thursday to review results and next steps.
________________________________________
Action Items
Action	Owner	Status
Disable Dynatrace in BUAT	Manjula (with Server Team)	Pending
Restart Control Center	Manjula	Pending
Attempt login post-Dynatrace disable	Manjula	Pending
Provide logs/files if requested	Manjula	As needed
Identify Dynatrace-related documentation (SA/notes)	Tausif	In progress
Follow-up meeting	Adam / Team	Scheduled (Thursday)
________________________________________
Open Questions / Risks
•	Why Dynatrace is causing an issue only in this BUAT environment and not in others.
•	Impact if disabling Dynatrace does not resolve the issue—potential need for deeper root cause analysis or escalation.
•	Desire to avoid a full environment rebuild, as this would be highly impactful for BUAT.
________________________________________
Next Steps
•	Complete Dynatrace disablement and validation.
•	Share findings during the next scheduled meeting.
•	If unresolved, escalate with logs and pursue alternative root cause paths.
Please share any comments or corrections on these minutes.
</t>
  </si>
  <si>
    <t>February 03,  ACI &amp; SSB - Part 2 Discuss ACI Questions on CRCU RPH risk queue requirements</t>
  </si>
  <si>
    <t>Minutes of Meeting (MoM) ACI &amp; SSB - Part 2 Discuss ACI Questions on CRCU RPH risk queue requirements
Meeting Topic: Dormant Account Handling, Deletion Flags, and STP / Risk Queue Behavior
Date: Feb 03 3:30 PM
Attendees:
•	Ajay Amit (ACI)
•	Philip Hegarty (ACI)
•	Mary Kate Savini (State Street)
•	Indira Mallela (State Street)
•	Mark Coppola (State Street)
•	Renee Hickey (State Street)
•	Mayjane Co (State Street)
________________________________________
1. Account Deletion Flags and SOD Processing
Discussion
•	ACI tested scenarios using two dummy accounts marked with ‘D’ through the Start-of-Day (SOD) file.
•	Once accounts were flagged: 
o	Debit hold and credit hold = “D”
o	Status marked for manual deletion
o	Attempting to update or reverse these flags via subsequent SOD files failed.
•	The system made errors indicating no updates are permitted once an account is flagged for manual deletion.
Conclusion
•	Accounts marked for manual deletion cannot be updated or reverted via SOD.
•	There is no automated way to remove deletion flags.
•	Manual intervention is the only option to delete or change these accounts.
________________________________________
2. Bulk Deletion or Flag Reversal Feasibility
Discussion
•	State Street raised concerns about potential future bulk deletion scenarios (e.g., ~37,000 accounts).
•	Question posed on whether flags (debit hold, credit hold, deletion indicator) could be reset in bulk.
Conclusion
•	No bulk or automated mechanism exists to: 
o	Remove deletion flags
o	Reset debit/credit holds to “N”
•	Any such activity must be performed manually.
•	ACI confirmed that bulk deletion or reversal is not supported today.
________________________________________
3. Dormant Account Identification (Non-Deletion)
Discussion
•	State Street clarified the goal was not to delete dormant accounts, but to identify them.
•	Dormancy example: accounts inactive for 180 days.
•	Question raised on whether RTPS/RPH has an internal mechanism to flag dormant accounts.
Conclusions
•	RPH does not provide an online or internal dormant-account flagging mechanism.
•	Dormant identification must come from: 
o	Upstream systems (Hogan / Transact), or
o	Reporting or queries against the Oracle database (e.g., last-used date).
•	Any dormancy logic would be external to ACI, unless custom development is pursued.
________________________________________
4. System of Record (TRS) and Risk Queue Routing
Discussion
•	State Street asked whether: 
o	Transact accounts could bypass the risk queue
o	While Hogan accounts continue current behavior
•	TRS (System of Record) was currently being used to differentiate accounts.
Conclusion
•	System of Record (TRS) is not used to alter process flow or routing logic.
•	TRS only determines: 
o	Where authorization occurs
o	Where posting occurs
•	Risk queue and STP behavior remain the same for Transact and Hogan accounts.
•	It is not possible to route Transact accounts away from risk queue solely based on TRS.
________________________________________
5. Monitor Points and STP Breaking
Discussion
•	Monitor points are currently used to: 
o	Break STP
o	Route transactions to the risk queue
•	Business preference stated: 
o	Certain messages should break STP without entering risk
o	Ideally routed to an exception queue
Conclusions
•	Monitor points: 
o	Cannot route directly to exception queues
o	Always route to risk
•	No standard ACI mechanism allows STP break without risk, unless: 
o	Customization, or
o	Alternative routing configuration is applied
________________________________________
6. Possible Alternative: Route Insertion Configuration
Discussion
•	ACI described a “route insertion” configuration: 
o	Allows messages that would normally be STP to be routed to a specific exception queue
o	Based on message characteristics
o	Not custom code, but still a configuration change
Status
•	ACI to verify: 
o	Whether string-based criteria (keywords/phrases) are supported
o	Or if criteria are limited to message attributes (currency, originator, etc.)
________________________________________
7. Holds Removal (Debit/Credit Holds)
Conclusion
•	Removal of debit/credit holds must be done manually
•	No automation exists to: 
o	Remove holds
o	Reverse dormant or deletion flags
•	Teams must also stop applying these holds to Transact accounts if issues are to be avoided.
________________________________________
8. Overall Conclusions
•	Transact accounts currently behave identically to Hogan accounts in: 
o	Risk handling
o	STP flow
•	Any changes to: 
o	Dormancy handling
o	Risk queue behavior
o	STP bypass require process changes, configuration changes, or customization.
•	Dormant account identification should be handled outside of ACI via reporting mechanisms.
________________________________________
9. Action Items / Next Steps
Action	Owner
Confirm business requirements for Transact account risk handling	State Street
Follow up with Indira on internal State Street alignment	Mayjane
Evaluate external reporting for dormant account identification	State Street
Review feasibility of routing based on string criteria (non-STP, non-risk)	ACI (Philip)
Please feel free to share any observations or clarifications regarding these minutes.</t>
  </si>
  <si>
    <t xml:space="preserve">  </t>
  </si>
  <si>
    <t>January</t>
  </si>
  <si>
    <t>February</t>
  </si>
  <si>
    <t>Dec_25 SP January Patch</t>
  </si>
  <si>
    <t xml:space="preserve">MTS 6.8.80.0 </t>
  </si>
  <si>
    <t xml:space="preserve"> 3.5.5.1 Patch - 14-Jan</t>
  </si>
  <si>
    <t>SNAPSHOT 2</t>
  </si>
  <si>
    <t>Feb 06
Feb 05 Tejas will update messages in RTPS / H24
Feb 04 Tejas will update the ticket
Develope Prod assgned</t>
  </si>
  <si>
    <r>
      <rPr>
        <b/>
        <sz val="11"/>
        <color theme="1"/>
        <rFont val="Aptos Narrow"/>
        <family val="2"/>
        <scheme val="minor"/>
      </rPr>
      <t>ACI # 03711383- MPA New Lines / MPA Multi line  (expected due date feb 10th)</t>
    </r>
    <r>
      <rPr>
        <sz val="11"/>
        <color theme="1"/>
        <rFont val="Aptos Narrow"/>
        <family val="2"/>
        <scheme val="minor"/>
      </rPr>
      <t xml:space="preserve">
•	RTPS-106894  Closed
•	RTPS-107299  Resolved Waiting finalize RTPS-107058
•	RTPS-107058 Progress
</t>
    </r>
    <r>
      <rPr>
        <b/>
        <sz val="11"/>
        <color theme="1"/>
        <rFont val="Aptos Narrow"/>
        <family val="2"/>
        <scheme val="minor"/>
      </rPr>
      <t>ACI # 03711383- MPA Multiple Lines  (expected due date feb 10th)</t>
    </r>
    <r>
      <rPr>
        <sz val="11"/>
        <color theme="1"/>
        <rFont val="Aptos Narrow"/>
        <family val="2"/>
        <scheme val="minor"/>
      </rPr>
      <t xml:space="preserve">
•	RTPS-106764 – Resolved  Testing (25/50)
</t>
    </r>
    <r>
      <rPr>
        <b/>
        <sz val="11"/>
        <color theme="1"/>
        <rFont val="Aptos Narrow"/>
        <family val="2"/>
        <scheme val="minor"/>
      </rPr>
      <t>ACI # 03749089- Bank Settlement (included in release March )</t>
    </r>
    <r>
      <rPr>
        <sz val="11"/>
        <color theme="1"/>
        <rFont val="Aptos Narrow"/>
        <family val="2"/>
        <scheme val="minor"/>
      </rPr>
      <t xml:space="preserve">
•	RTPS-106276 – Test 100 cases due date Feb 20  waiting  release  code in QA to start the testing
</t>
    </r>
    <r>
      <rPr>
        <b/>
        <sz val="11"/>
        <color theme="1"/>
        <rFont val="Aptos Narrow"/>
        <family val="2"/>
        <scheme val="minor"/>
      </rPr>
      <t>UPF cases</t>
    </r>
    <r>
      <rPr>
        <sz val="11"/>
        <color theme="1"/>
        <rFont val="Aptos Narrow"/>
        <family val="2"/>
        <scheme val="minor"/>
      </rPr>
      <t xml:space="preserve">
•	'03779477-Control Center December Service Pack Installation Errors
</t>
    </r>
    <r>
      <rPr>
        <b/>
        <sz val="11"/>
        <color theme="1"/>
        <rFont val="Aptos Narrow"/>
        <family val="2"/>
        <scheme val="minor"/>
      </rPr>
      <t>TARGET Cases</t>
    </r>
    <r>
      <rPr>
        <sz val="11"/>
        <color theme="1"/>
        <rFont val="Aptos Narrow"/>
        <family val="2"/>
        <scheme val="minor"/>
      </rPr>
      <t xml:space="preserve">
•	RTPS-85173-Inbound CAMT025 Receipt not mapping with Outbound CAMT050 Liquidity Credit Transfer message (product due March 30)
•	RTPS-106930-Outbound CAMT050 MX Message - SAA Header Section populated with incorrect values-product(development)
•	RTPS-107894-ACK TRN's are not received in MTS and matched with original outbound transaction-PCS process
•	RTPS-107959-Outbound PACS009 wis routed to EXCQ due to TGT Channel Derivation issue.PCS process
</t>
    </r>
    <r>
      <rPr>
        <b/>
        <sz val="11"/>
        <color theme="1"/>
        <rFont val="Aptos Narrow"/>
        <family val="2"/>
        <scheme val="minor"/>
      </rPr>
      <t>CHIPS Cases</t>
    </r>
    <r>
      <rPr>
        <sz val="11"/>
        <color theme="1"/>
        <rFont val="Aptos Narrow"/>
        <family val="2"/>
        <scheme val="minor"/>
      </rPr>
      <t xml:space="preserve">
•	RTPS-105098-CHIPS ISO Inbound - Field 72 OBI/BBI long characters-Bank  hold till Feb 13. 
•	RTPS-106826-Field 72 - Need sequencing changes in the data--Bank  hold till Feb 13. 
</t>
    </r>
    <r>
      <rPr>
        <b/>
        <sz val="11"/>
        <color theme="1"/>
        <rFont val="Aptos Narrow"/>
        <family val="2"/>
        <scheme val="minor"/>
      </rPr>
      <t>Other Cases</t>
    </r>
    <r>
      <rPr>
        <sz val="11"/>
        <color theme="1"/>
        <rFont val="Aptos Narrow"/>
        <family val="2"/>
        <scheme val="minor"/>
      </rPr>
      <t xml:space="preserve">
•	RTPS-106921-CHAPS-LEI is not retained in the credit payment text where its mandatory for the regulations-Dev Assigned
•	RTPS-107539-MTS routing issue: Payment flagged for TRS still routed to Hogan queue (DDA_AUTQ)-confim bank working as designed
•	RTPS-107540-Transact MPA lines Login request contains junk characters for Transact Accounts-Dev Assigned
</t>
    </r>
  </si>
  <si>
    <t>State Street Bank  Sprint 23 Jan 28 - Feb 12</t>
  </si>
  <si>
    <t>Feb06 ready for test
Feb 05 Tejas confirm still pending to start testing(jean need to confirm on this)
Feb 04  Sail will ask jean code to start this test today
Jean Harty added a comment - jan 26
analyzing these cancels.</t>
  </si>
  <si>
    <t xml:space="preserve">Feb06 ready for test
Feb 05 (need to be tested together with  RTPS-107058)
Feb 04  Sail will ask jean code to start this test today
Jean Harty added a comment - jan 28
Saikumar Vemasani  this was fixed under RTPS-107058.  This should be retested when RTPS-107058 is built and ready for QA, then can be closed if the test results are satisfactory. </t>
  </si>
  <si>
    <t xml:space="preserve">Feb06 Line 21 (/ 25) will completed today, start line 22 (8/25)
Feb 05 Line 21 (50% completed) will start line 22
Feb 04 Neethu advancing but still with issues (
Jan 29 advace (4/50) cases , create file also update in the share point </t>
  </si>
  <si>
    <t xml:space="preserve">Feb 06 still waiting from bank comments in the ticket
Feb 05 meetig discuss on Dynatrace again -  Bank need to update the ticket  and Pausti will review it and update the ticket after that
Feb 04 Bank confirmed that is working, (without Dynatrace system). Update the ticket 
Jan 28 Paul escalte to UPF enginneer  </t>
  </si>
  <si>
    <t>Feb 06 we will discuss on this today
Feb 05 Philp will explore the option .(Review feasibility of routing based on string criteria (non-STP, non-risk))
Feb 04 Bank need to advance in requirement to ACI
Jan 29  After jan 27 meeting  it's require to create POC, also will have feb 3th new meeting to continue the Analysis on this.</t>
  </si>
  <si>
    <t>Ready for testing</t>
  </si>
  <si>
    <t>Waiting customer answer</t>
  </si>
  <si>
    <t>RTPS-67069</t>
  </si>
  <si>
    <t>SSG - modify NON_BUSINESS_DAY_EDIT to allow for Sunday processing</t>
  </si>
  <si>
    <t>Feb 06 open by jean to test by PCS</t>
  </si>
  <si>
    <t>Feb 06 same status feb 05
Feb 05 Jean update ticket as resolved .. Need to know next steps
Feb 04 in progress by jean
Include release end March</t>
  </si>
  <si>
    <t>Feb 06 in turn 11 Jason H
Feb 04 already scalate with Stephanie
Jan 29 Jason H assign 16 site in development</t>
  </si>
  <si>
    <t>Feb 06 Tejas sent mail to bank check swift, now banking is asking  ACI (Tejas will update the ticket)
Feb05 Tejas review info from bank , it's not recreate yet. Need discuss with Philp.
Feb 04 Tejas received data from bank will update and review with Paul on this
Jan 29 recreate to review with Philp</t>
  </si>
  <si>
    <t>Feb 06 Tejas confirm that work find, will send bank asking what bank is using  this data
Feb 05 Tejas partially recreate  Amit suggest change the account to test it.
Feb 04 Tejas will recreate, with the information received by bank
Jan 29 recreate to review with Philp</t>
  </si>
  <si>
    <t>Feb 06 Phill need to check with Jean on this  (SDD alredy had Oscar will share with Jean / Philp)
Feb05 same status Feb 04
Feb 04 POC sai is advancing on this
jan 29 Amit will advance in Solution Document, pending from bank requirement sign off</t>
  </si>
  <si>
    <t>Feb 06 Amit wil review on this
Feb 05 Amit will review the RTPS-107074
Amy H. request follow this</t>
  </si>
  <si>
    <t>Feb 06 After today meeting with Saumya, next steps call to Joe C and send mail to bank on this (sai)
Feb 05 Sail will update the ticket  H24, and will check with developer. Oscar arrange the call tomorrow 8 am
Feb 04  After feb 03 meeting with the bank the bank comment that with june  25 is working .</t>
  </si>
  <si>
    <t>Feb 06 we try to recreate issue here to discuss with Philp today
Feb 05 to discuss with Philp today meeting
Feb 04 Amit will document on this before review with Philp
Jan 30 Oscar sent mail to Scott</t>
  </si>
  <si>
    <t>Inquiry - Need sample of CBPR+ PAIN.001 message with multiple CdtTrfTxInf and corresponding PAIN.002 responses (Batch Adaptor)</t>
  </si>
  <si>
    <t>Feb 06 already sent to bank waiting bank response
Feb 04 Amit need to response to bank on the question</t>
  </si>
  <si>
    <t>Feb 06 we need to wait for ACI product annoucment 
Feb 05 SME agenda / after that call with joe (prod)
Feb 04  Amit already sent the response</t>
  </si>
  <si>
    <t>Feb 06 Philp will change in the rules. 
Feb 05 Katheeja already recreate the issue. (SSI) create RTPS
Feb 04  Katheeja start recreation  found TRAPs</t>
  </si>
  <si>
    <t>Feb 06 Bank will test it , next steps wait for Bank comments  on this.
Feb 05 Bank insist they have  version mq-client different that ACI recommend, Paul will escalate this</t>
  </si>
  <si>
    <t>RTPS-108203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</si>
</sst>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quot;$&quot;#,##0.00"/>
  </numFmts>
  <fonts count="45"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4"/>
      <name val="Calibri"/>
      <family val="2"/>
    </font>
    <font>
      <b/>
      <sz val="11"/>
      <color rgb="FF1F4E78"/>
      <name val="Calibri"/>
    </font>
    <font>
      <b/>
      <sz val="11"/>
      <name val="Calibri"/>
      <family val="2"/>
    </font>
    <font>
      <b/>
      <sz val="11"/>
      <name val="Calibri"/>
    </font>
    <font>
      <b/>
      <sz val="11"/>
      <color rgb="FF0070C0"/>
      <name val="Calibri"/>
      <family val="2"/>
    </font>
    <font>
      <sz val="10"/>
      <color theme="1"/>
      <name val="Arial"/>
      <family val="2"/>
    </font>
    <font>
      <b/>
      <sz val="11"/>
      <color rgb="FFFF0000"/>
      <name val="Aptos Narrow"/>
      <family val="2"/>
      <scheme val="minor"/>
    </font>
    <font>
      <sz val="8"/>
      <color theme="1"/>
      <name val="Aptos Narrow"/>
      <family val="2"/>
      <scheme val="minor"/>
    </font>
    <font>
      <b/>
      <sz val="9"/>
      <color theme="1"/>
      <name val="Aptos Narrow"/>
      <family val="2"/>
      <scheme val="minor"/>
    </font>
    <font>
      <sz val="10"/>
      <color theme="1"/>
      <name val="Aptos Narrow"/>
      <family val="2"/>
      <scheme val="minor"/>
    </font>
    <font>
      <sz val="8"/>
      <name val="Aptos Narrow"/>
      <family val="2"/>
      <scheme val="minor"/>
    </font>
    <font>
      <b/>
      <sz val="9"/>
      <name val="Aptos Narrow"/>
      <family val="2"/>
      <scheme val="minor"/>
    </font>
    <font>
      <sz val="9"/>
      <name val="Aptos Narrow"/>
      <family val="2"/>
      <scheme val="minor"/>
    </font>
    <font>
      <sz val="10"/>
      <name val="Aptos Narrow"/>
      <family val="2"/>
      <scheme val="minor"/>
    </font>
    <font>
      <b/>
      <sz val="16"/>
      <color theme="1"/>
      <name val="Arial"/>
      <family val="2"/>
    </font>
    <font>
      <b/>
      <sz val="10"/>
      <color theme="1"/>
      <name val="Arial"/>
      <family val="2"/>
    </font>
    <font>
      <sz val="10"/>
      <name val="Arial"/>
      <family val="2"/>
    </font>
    <font>
      <u/>
      <sz val="10"/>
      <color rgb="FF0000FF"/>
      <name val="Arial"/>
      <family val="2"/>
    </font>
    <font>
      <sz val="11"/>
      <color rgb="FF000000"/>
      <name val="Aptos Narrow"/>
      <family val="2"/>
    </font>
    <font>
      <b/>
      <sz val="18"/>
      <name val="Aptos Narrow"/>
      <family val="2"/>
      <scheme val="minor"/>
    </font>
    <font>
      <b/>
      <sz val="14"/>
      <name val="Aptos Narrow"/>
      <family val="2"/>
      <scheme val="minor"/>
    </font>
    <font>
      <b/>
      <i/>
      <sz val="11"/>
      <color theme="1"/>
      <name val="Aptos Narrow"/>
      <family val="2"/>
      <scheme val="minor"/>
    </font>
    <font>
      <sz val="11"/>
      <name val="Arial"/>
      <family val="2"/>
    </font>
    <font>
      <b/>
      <sz val="11"/>
      <name val="Arial"/>
      <family val="2"/>
    </font>
    <font>
      <sz val="11"/>
      <name val="Aptos Narrow"/>
      <family val="2"/>
      <scheme val="minor"/>
    </font>
    <font>
      <sz val="9"/>
      <color theme="1"/>
      <name val="Aptos Narrow"/>
      <family val="2"/>
      <scheme val="minor"/>
    </font>
    <font>
      <b/>
      <sz val="10"/>
      <color theme="1"/>
      <name val="Aptos Narrow"/>
      <family val="2"/>
      <scheme val="minor"/>
    </font>
    <font>
      <b/>
      <sz val="11"/>
      <name val="Aptos Narrow"/>
      <family val="2"/>
      <scheme val="minor"/>
    </font>
    <font>
      <b/>
      <sz val="11"/>
      <color rgb="FF009900"/>
      <name val="Aptos Narrow"/>
      <family val="2"/>
      <scheme val="minor"/>
    </font>
    <font>
      <b/>
      <sz val="16"/>
      <color rgb="FFFF0000"/>
      <name val="Georgia"/>
      <family val="1"/>
    </font>
    <font>
      <b/>
      <sz val="14"/>
      <color rgb="FFFFFFFF"/>
      <name val="Calibri"/>
      <family val="2"/>
    </font>
    <font>
      <b/>
      <sz val="14"/>
      <color rgb="FF000000"/>
      <name val="Calibri"/>
      <family val="2"/>
    </font>
    <font>
      <b/>
      <sz val="14"/>
      <color theme="1"/>
      <name val="Calibri"/>
      <family val="2"/>
    </font>
    <font>
      <sz val="10"/>
      <color rgb="FF000000"/>
      <name val="Aptos"/>
      <family val="2"/>
    </font>
    <font>
      <sz val="10"/>
      <color rgb="FF000000"/>
      <name val="Aptos Narrow"/>
      <family val="2"/>
    </font>
    <font>
      <sz val="11"/>
      <color rgb="FF172B4D"/>
      <name val="Segoe UI"/>
      <family val="2"/>
    </font>
    <font>
      <u/>
      <sz val="11"/>
      <color theme="10"/>
      <name val="Aptos Narrow"/>
      <family val="2"/>
      <scheme val="minor"/>
    </font>
    <font>
      <sz val="11"/>
      <color theme="1"/>
      <name val="Arial"/>
      <family val="2"/>
    </font>
    <font>
      <sz val="11"/>
      <name val="Calibri"/>
      <family val="2"/>
    </font>
    <font>
      <b/>
      <sz val="14"/>
      <color theme="5"/>
      <name val="Calibri"/>
      <family val="2"/>
    </font>
  </fonts>
  <fills count="15">
    <fill>
      <patternFill patternType="none"/>
    </fill>
    <fill>
      <patternFill patternType="gray125"/>
    </fill>
    <fill>
      <patternFill patternType="solid">
        <fgColor rgb="FF92D050"/>
      </patternFill>
    </fill>
    <fill>
      <patternFill patternType="solid">
        <fgColor rgb="FFFFC000"/>
        <bgColor indexed="64"/>
      </patternFill>
    </fill>
    <fill>
      <patternFill patternType="solid">
        <fgColor rgb="FFC0000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rgb="FF00206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theme="4" tint="0.79998168889431442"/>
      </patternFill>
    </fill>
  </fills>
  <borders count="3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thick">
        <color rgb="FF002060"/>
      </bottom>
      <diagonal/>
    </border>
    <border>
      <left style="thick">
        <color rgb="FF002060"/>
      </left>
      <right style="medium">
        <color rgb="FF002060"/>
      </right>
      <top style="thick">
        <color rgb="FF002060"/>
      </top>
      <bottom style="medium">
        <color rgb="FF002060"/>
      </bottom>
      <diagonal/>
    </border>
    <border>
      <left/>
      <right style="medium">
        <color rgb="FF002060"/>
      </right>
      <top style="thick">
        <color rgb="FF002060"/>
      </top>
      <bottom style="medium">
        <color rgb="FF002060"/>
      </bottom>
      <diagonal/>
    </border>
    <border>
      <left/>
      <right style="thick">
        <color rgb="FF002060"/>
      </right>
      <top style="thick">
        <color rgb="FF002060"/>
      </top>
      <bottom style="medium">
        <color rgb="FF002060"/>
      </bottom>
      <diagonal/>
    </border>
    <border>
      <left style="thick">
        <color rgb="FF002060"/>
      </left>
      <right style="medium">
        <color rgb="FF002060"/>
      </right>
      <top/>
      <bottom style="medium">
        <color rgb="FF002060"/>
      </bottom>
      <diagonal/>
    </border>
    <border>
      <left/>
      <right style="medium">
        <color rgb="FF002060"/>
      </right>
      <top/>
      <bottom style="medium">
        <color rgb="FF002060"/>
      </bottom>
      <diagonal/>
    </border>
    <border>
      <left/>
      <right style="thick">
        <color rgb="FF002060"/>
      </right>
      <top/>
      <bottom style="medium">
        <color rgb="FF002060"/>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thin">
        <color theme="4" tint="0.39997558519241921"/>
      </top>
      <bottom/>
      <diagonal/>
    </border>
  </borders>
  <cellStyleXfs count="5">
    <xf numFmtId="0" fontId="0" fillId="0" borderId="0"/>
    <xf numFmtId="0" fontId="10" fillId="0" borderId="0"/>
    <xf numFmtId="0" fontId="22" fillId="0" borderId="0"/>
    <xf numFmtId="0" fontId="21" fillId="0" borderId="0"/>
    <xf numFmtId="0" fontId="41" fillId="0" borderId="0" applyNumberFormat="0" applyFill="0" applyBorder="0" applyAlignment="0" applyProtection="0"/>
  </cellStyleXfs>
  <cellXfs count="321">
    <xf numFmtId="0" fontId="0" fillId="0" borderId="0" xfId="0"/>
    <xf numFmtId="0" fontId="5" fillId="0" borderId="0" xfId="0" applyFont="1"/>
    <xf numFmtId="0" fontId="6" fillId="0" borderId="0" xfId="0" applyFont="1"/>
    <xf numFmtId="14" fontId="0" fillId="0" borderId="1" xfId="0" applyNumberFormat="1" applyBorder="1"/>
    <xf numFmtId="0" fontId="4" fillId="0" borderId="0" xfId="0" applyFont="1"/>
    <xf numFmtId="0" fontId="0" fillId="0" borderId="0" xfId="0" applyAlignment="1">
      <alignment horizontal="center"/>
    </xf>
    <xf numFmtId="0" fontId="6" fillId="0" borderId="2" xfId="0" applyFont="1" applyBorder="1" applyAlignment="1">
      <alignment horizontal="center"/>
    </xf>
    <xf numFmtId="0" fontId="2" fillId="2" borderId="3" xfId="0" applyFont="1" applyFill="1" applyBorder="1"/>
    <xf numFmtId="0" fontId="2" fillId="3" borderId="3" xfId="0" applyFont="1" applyFill="1" applyBorder="1"/>
    <xf numFmtId="0" fontId="2" fillId="4" borderId="3" xfId="0" applyFont="1" applyFill="1" applyBorder="1"/>
    <xf numFmtId="0" fontId="2" fillId="5" borderId="4" xfId="0" applyFont="1" applyFill="1" applyBorder="1"/>
    <xf numFmtId="0" fontId="7" fillId="0" borderId="5" xfId="0" applyFont="1" applyBorder="1"/>
    <xf numFmtId="0" fontId="4" fillId="0" borderId="0" xfId="0" applyFont="1" applyAlignment="1">
      <alignment horizontal="center"/>
    </xf>
    <xf numFmtId="14" fontId="0" fillId="0" borderId="1" xfId="0" applyNumberFormat="1" applyBorder="1" applyAlignment="1">
      <alignment horizontal="center"/>
    </xf>
    <xf numFmtId="9" fontId="0" fillId="0" borderId="6" xfId="0" applyNumberFormat="1" applyBorder="1" applyAlignment="1">
      <alignment horizontal="center"/>
    </xf>
    <xf numFmtId="0" fontId="0" fillId="0" borderId="1" xfId="0" applyBorder="1" applyAlignment="1">
      <alignment horizontal="center"/>
    </xf>
    <xf numFmtId="0" fontId="8" fillId="0" borderId="0" xfId="0" applyFont="1"/>
    <xf numFmtId="0" fontId="2" fillId="0" borderId="1" xfId="0" applyFont="1" applyBorder="1" applyAlignment="1">
      <alignment horizontal="center"/>
    </xf>
    <xf numFmtId="0" fontId="2" fillId="0" borderId="7" xfId="0" applyFont="1" applyBorder="1" applyAlignment="1">
      <alignment horizontal="center"/>
    </xf>
    <xf numFmtId="0" fontId="9" fillId="0" borderId="0" xfId="0" applyFont="1"/>
    <xf numFmtId="0" fontId="0" fillId="0" borderId="10" xfId="0" applyBorder="1" applyAlignment="1">
      <alignment horizontal="left" wrapText="1"/>
    </xf>
    <xf numFmtId="0" fontId="0" fillId="0" borderId="0" xfId="0" applyAlignment="1">
      <alignment horizontal="left" wrapText="1"/>
    </xf>
    <xf numFmtId="0" fontId="10" fillId="7" borderId="0" xfId="1" applyFill="1"/>
    <xf numFmtId="0" fontId="10" fillId="0" borderId="0" xfId="1"/>
    <xf numFmtId="0" fontId="12" fillId="0" borderId="15" xfId="1" applyFont="1" applyBorder="1" applyAlignment="1">
      <alignment vertical="top" wrapText="1"/>
    </xf>
    <xf numFmtId="0" fontId="14" fillId="7" borderId="0" xfId="1" applyFont="1" applyFill="1"/>
    <xf numFmtId="0" fontId="14" fillId="0" borderId="0" xfId="1" applyFont="1"/>
    <xf numFmtId="0" fontId="15" fillId="0" borderId="17" xfId="1" applyFont="1" applyBorder="1" applyAlignment="1">
      <alignment vertical="top" wrapText="1"/>
    </xf>
    <xf numFmtId="0" fontId="18" fillId="7" borderId="0" xfId="1" applyFont="1" applyFill="1"/>
    <xf numFmtId="0" fontId="18" fillId="0" borderId="0" xfId="1" applyFont="1"/>
    <xf numFmtId="0" fontId="10" fillId="0" borderId="17" xfId="1" applyBorder="1"/>
    <xf numFmtId="0" fontId="10" fillId="7" borderId="17" xfId="1" applyFill="1" applyBorder="1"/>
    <xf numFmtId="0" fontId="10" fillId="0" borderId="19" xfId="1" applyBorder="1"/>
    <xf numFmtId="0" fontId="10" fillId="8" borderId="17" xfId="1" applyFill="1" applyBorder="1"/>
    <xf numFmtId="0" fontId="20" fillId="9" borderId="17" xfId="1" applyFont="1" applyFill="1" applyBorder="1" applyAlignment="1">
      <alignment horizontal="left"/>
    </xf>
    <xf numFmtId="0" fontId="2" fillId="0" borderId="0" xfId="0" applyFont="1" applyAlignment="1">
      <alignment horizontal="center"/>
    </xf>
    <xf numFmtId="0" fontId="1" fillId="7" borderId="0" xfId="0" applyFont="1" applyFill="1"/>
    <xf numFmtId="0" fontId="1" fillId="0" borderId="0" xfId="0" applyFont="1"/>
    <xf numFmtId="0" fontId="1" fillId="0" borderId="0" xfId="0" applyFont="1" applyAlignment="1">
      <alignment vertical="top"/>
    </xf>
    <xf numFmtId="0" fontId="1" fillId="7" borderId="0" xfId="0" applyFont="1" applyFill="1" applyAlignment="1">
      <alignment vertical="top"/>
    </xf>
    <xf numFmtId="0" fontId="0" fillId="0" borderId="15" xfId="0" applyBorder="1" applyAlignment="1">
      <alignment vertical="top" wrapText="1"/>
    </xf>
    <xf numFmtId="0" fontId="4" fillId="0" borderId="15" xfId="0" applyFont="1" applyBorder="1" applyAlignment="1">
      <alignment horizontal="right" vertical="top"/>
    </xf>
    <xf numFmtId="0" fontId="0" fillId="0" borderId="15" xfId="0" applyBorder="1" applyAlignment="1">
      <alignment vertical="top"/>
    </xf>
    <xf numFmtId="0" fontId="1" fillId="0" borderId="15" xfId="0" applyFont="1" applyBorder="1" applyAlignment="1">
      <alignment vertical="top"/>
    </xf>
    <xf numFmtId="0" fontId="1" fillId="0" borderId="0" xfId="0" applyFont="1" applyAlignment="1">
      <alignment wrapText="1"/>
    </xf>
    <xf numFmtId="0" fontId="1" fillId="7" borderId="0" xfId="0" applyFont="1" applyFill="1" applyAlignment="1">
      <alignment wrapText="1"/>
    </xf>
    <xf numFmtId="0" fontId="0" fillId="0" borderId="17" xfId="0" applyBorder="1" applyAlignment="1">
      <alignment wrapText="1"/>
    </xf>
    <xf numFmtId="0" fontId="29" fillId="0" borderId="17" xfId="0" applyFont="1" applyBorder="1" applyAlignment="1">
      <alignment horizontal="right" vertical="top" wrapText="1"/>
    </xf>
    <xf numFmtId="0" fontId="4" fillId="0" borderId="17" xfId="0" applyFont="1" applyBorder="1" applyAlignment="1">
      <alignment wrapText="1"/>
    </xf>
    <xf numFmtId="0" fontId="11" fillId="0" borderId="15" xfId="0" applyFont="1" applyBorder="1"/>
    <xf numFmtId="0" fontId="33" fillId="0" borderId="15" xfId="0" applyFont="1" applyBorder="1"/>
    <xf numFmtId="0" fontId="11" fillId="7" borderId="0" xfId="0" applyFont="1" applyFill="1" applyAlignment="1">
      <alignment horizontal="left" wrapText="1"/>
    </xf>
    <xf numFmtId="0" fontId="3" fillId="7" borderId="0" xfId="0" applyFont="1" applyFill="1"/>
    <xf numFmtId="0" fontId="0" fillId="7" borderId="0" xfId="0" applyFill="1" applyAlignment="1">
      <alignment horizontal="right" vertical="top"/>
    </xf>
    <xf numFmtId="0" fontId="1" fillId="7" borderId="0" xfId="0" applyFont="1" applyFill="1" applyAlignment="1">
      <alignment vertical="top" wrapText="1"/>
    </xf>
    <xf numFmtId="0" fontId="29" fillId="7" borderId="0" xfId="0" applyFont="1" applyFill="1" applyAlignment="1">
      <alignment vertical="top" wrapText="1"/>
    </xf>
    <xf numFmtId="0" fontId="0" fillId="7" borderId="0" xfId="0" applyFill="1" applyAlignment="1">
      <alignment vertical="top" wrapText="1"/>
    </xf>
    <xf numFmtId="0" fontId="11" fillId="7" borderId="0" xfId="0" applyFont="1" applyFill="1" applyAlignment="1">
      <alignment horizontal="left" vertical="top" wrapText="1"/>
    </xf>
    <xf numFmtId="0" fontId="0" fillId="7" borderId="0" xfId="0" applyFill="1" applyAlignment="1">
      <alignment horizontal="right"/>
    </xf>
    <xf numFmtId="0" fontId="29" fillId="7" borderId="0" xfId="0" applyFont="1" applyFill="1" applyAlignment="1">
      <alignment wrapText="1"/>
    </xf>
    <xf numFmtId="0" fontId="0" fillId="7" borderId="0" xfId="0" applyFill="1" applyAlignment="1">
      <alignment wrapText="1"/>
    </xf>
    <xf numFmtId="0" fontId="4" fillId="7" borderId="0" xfId="0" applyFont="1" applyFill="1" applyAlignment="1">
      <alignment wrapText="1"/>
    </xf>
    <xf numFmtId="0" fontId="4" fillId="7" borderId="15" xfId="0" applyFont="1" applyFill="1" applyBorder="1" applyAlignment="1">
      <alignment vertical="top" wrapText="1"/>
    </xf>
    <xf numFmtId="0" fontId="4" fillId="7" borderId="15" xfId="0" applyFont="1" applyFill="1" applyBorder="1" applyAlignment="1">
      <alignment horizontal="left" vertical="top" wrapText="1"/>
    </xf>
    <xf numFmtId="0" fontId="0" fillId="7" borderId="17" xfId="0" applyFill="1" applyBorder="1" applyAlignment="1">
      <alignment vertical="top" wrapText="1"/>
    </xf>
    <xf numFmtId="0" fontId="4" fillId="7" borderId="17" xfId="0" applyFont="1" applyFill="1" applyBorder="1" applyAlignment="1">
      <alignment vertical="top" wrapText="1"/>
    </xf>
    <xf numFmtId="0" fontId="0" fillId="7" borderId="17" xfId="0" applyFill="1" applyBorder="1" applyAlignment="1">
      <alignment vertical="top"/>
    </xf>
    <xf numFmtId="10" fontId="0" fillId="7" borderId="17" xfId="0" applyNumberFormat="1" applyFill="1" applyBorder="1" applyAlignment="1">
      <alignment vertical="top" wrapText="1"/>
    </xf>
    <xf numFmtId="164" fontId="14" fillId="7" borderId="17" xfId="0" applyNumberFormat="1" applyFont="1" applyFill="1" applyBorder="1" applyAlignment="1">
      <alignment vertical="top"/>
    </xf>
    <xf numFmtId="0" fontId="0" fillId="7" borderId="0" xfId="0" applyFill="1" applyAlignment="1">
      <alignment horizontal="right" vertical="top" wrapText="1"/>
    </xf>
    <xf numFmtId="17" fontId="27" fillId="7" borderId="17" xfId="3" applyNumberFormat="1" applyFont="1" applyFill="1" applyBorder="1"/>
    <xf numFmtId="0" fontId="4" fillId="7" borderId="0" xfId="0" applyFont="1" applyFill="1"/>
    <xf numFmtId="0" fontId="0" fillId="7" borderId="0" xfId="0" applyFill="1" applyAlignment="1">
      <alignment horizontal="right" wrapText="1"/>
    </xf>
    <xf numFmtId="0" fontId="1" fillId="7" borderId="0" xfId="0" applyFont="1" applyFill="1" applyAlignment="1">
      <alignment horizontal="right" vertical="top"/>
    </xf>
    <xf numFmtId="0" fontId="0" fillId="7" borderId="0" xfId="0" applyFill="1" applyAlignment="1">
      <alignment vertical="top"/>
    </xf>
    <xf numFmtId="4" fontId="0" fillId="7" borderId="0" xfId="0" applyNumberFormat="1" applyFill="1" applyAlignment="1">
      <alignment vertical="top"/>
    </xf>
    <xf numFmtId="4" fontId="0" fillId="7" borderId="0" xfId="0" applyNumberFormat="1" applyFill="1" applyAlignment="1">
      <alignment horizontal="right" vertical="top"/>
    </xf>
    <xf numFmtId="0" fontId="0" fillId="7" borderId="0" xfId="0" applyFill="1"/>
    <xf numFmtId="0" fontId="4" fillId="7" borderId="0" xfId="0" applyFont="1" applyFill="1" applyAlignment="1">
      <alignment horizontal="center"/>
    </xf>
    <xf numFmtId="0" fontId="26" fillId="7" borderId="15" xfId="0" applyFont="1" applyFill="1" applyBorder="1" applyAlignment="1">
      <alignment horizontal="left" vertical="top" wrapText="1"/>
    </xf>
    <xf numFmtId="0" fontId="26" fillId="7" borderId="15" xfId="0" applyFont="1" applyFill="1" applyBorder="1" applyAlignment="1">
      <alignment horizontal="center" vertical="top" wrapText="1"/>
    </xf>
    <xf numFmtId="0" fontId="26" fillId="7" borderId="0" xfId="0" applyFont="1" applyFill="1" applyAlignment="1">
      <alignment horizontal="left" vertical="top" wrapText="1"/>
    </xf>
    <xf numFmtId="0" fontId="0" fillId="7" borderId="17" xfId="0" applyFill="1" applyBorder="1"/>
    <xf numFmtId="0" fontId="1" fillId="7" borderId="17" xfId="0" applyFont="1" applyFill="1" applyBorder="1"/>
    <xf numFmtId="165" fontId="1" fillId="7" borderId="17" xfId="0" applyNumberFormat="1" applyFont="1" applyFill="1" applyBorder="1" applyAlignment="1">
      <alignment horizontal="right" indent="1"/>
    </xf>
    <xf numFmtId="14" fontId="0" fillId="7" borderId="17" xfId="0" applyNumberFormat="1" applyFill="1" applyBorder="1" applyAlignment="1">
      <alignment horizontal="right"/>
    </xf>
    <xf numFmtId="0" fontId="0" fillId="7" borderId="17" xfId="0" applyFill="1" applyBorder="1" applyAlignment="1">
      <alignment horizontal="right"/>
    </xf>
    <xf numFmtId="0" fontId="0" fillId="7" borderId="0" xfId="0" applyFill="1" applyAlignment="1">
      <alignment horizontal="left"/>
    </xf>
    <xf numFmtId="0" fontId="1" fillId="9" borderId="0" xfId="0" applyFont="1" applyFill="1"/>
    <xf numFmtId="0" fontId="25" fillId="9" borderId="22" xfId="0" applyFont="1" applyFill="1" applyBorder="1" applyAlignment="1">
      <alignment vertical="top" wrapText="1"/>
    </xf>
    <xf numFmtId="0" fontId="26" fillId="9" borderId="2" xfId="0" applyFont="1" applyFill="1" applyBorder="1" applyAlignment="1">
      <alignment horizontal="left" vertical="top" wrapText="1"/>
    </xf>
    <xf numFmtId="0" fontId="26" fillId="9" borderId="3" xfId="0" applyFont="1" applyFill="1" applyBorder="1" applyAlignment="1">
      <alignment horizontal="right" vertical="top" wrapText="1"/>
    </xf>
    <xf numFmtId="0" fontId="26" fillId="9" borderId="23" xfId="0" applyFont="1" applyFill="1" applyBorder="1" applyAlignment="1">
      <alignment horizontal="right" vertical="top" wrapText="1"/>
    </xf>
    <xf numFmtId="4" fontId="0" fillId="9" borderId="0" xfId="0" applyNumberFormat="1" applyFill="1"/>
    <xf numFmtId="4" fontId="1" fillId="9" borderId="0" xfId="0" applyNumberFormat="1" applyFont="1" applyFill="1"/>
    <xf numFmtId="4" fontId="4" fillId="9" borderId="0" xfId="0" applyNumberFormat="1" applyFont="1" applyFill="1"/>
    <xf numFmtId="0" fontId="0" fillId="9" borderId="15" xfId="0" applyFill="1" applyBorder="1" applyAlignment="1">
      <alignment vertical="top" wrapText="1"/>
    </xf>
    <xf numFmtId="0" fontId="4" fillId="9" borderId="15" xfId="0" applyFont="1" applyFill="1" applyBorder="1" applyAlignment="1">
      <alignment horizontal="right" vertical="top"/>
    </xf>
    <xf numFmtId="0" fontId="0" fillId="9" borderId="15" xfId="0" applyFill="1" applyBorder="1" applyAlignment="1">
      <alignment vertical="top"/>
    </xf>
    <xf numFmtId="0" fontId="1" fillId="9" borderId="15" xfId="0" applyFont="1" applyFill="1" applyBorder="1" applyAlignment="1">
      <alignment vertical="top"/>
    </xf>
    <xf numFmtId="0" fontId="0" fillId="9" borderId="15" xfId="0" applyFill="1" applyBorder="1"/>
    <xf numFmtId="0" fontId="11" fillId="9" borderId="0" xfId="0" applyFont="1" applyFill="1" applyAlignment="1">
      <alignment horizontal="left" wrapText="1"/>
    </xf>
    <xf numFmtId="0" fontId="3" fillId="9" borderId="0" xfId="0" applyFont="1" applyFill="1"/>
    <xf numFmtId="17" fontId="27" fillId="9" borderId="17" xfId="3" applyNumberFormat="1" applyFont="1" applyFill="1" applyBorder="1"/>
    <xf numFmtId="0" fontId="0" fillId="9" borderId="17" xfId="0" applyFill="1" applyBorder="1" applyAlignment="1">
      <alignment horizontal="right"/>
    </xf>
    <xf numFmtId="0" fontId="1" fillId="9" borderId="17" xfId="0" applyFont="1" applyFill="1" applyBorder="1" applyAlignment="1">
      <alignment wrapText="1"/>
    </xf>
    <xf numFmtId="0" fontId="0" fillId="9" borderId="17" xfId="0" applyFill="1" applyBorder="1" applyAlignment="1">
      <alignment wrapText="1"/>
    </xf>
    <xf numFmtId="0" fontId="29" fillId="9" borderId="17" xfId="0" applyFont="1" applyFill="1" applyBorder="1" applyAlignment="1">
      <alignment horizontal="right" vertical="top" wrapText="1"/>
    </xf>
    <xf numFmtId="0" fontId="29" fillId="9" borderId="17" xfId="0" applyFont="1" applyFill="1" applyBorder="1" applyAlignment="1">
      <alignment wrapText="1"/>
    </xf>
    <xf numFmtId="0" fontId="0" fillId="9" borderId="0" xfId="0" applyFill="1" applyAlignment="1">
      <alignment horizontal="right" vertical="top"/>
    </xf>
    <xf numFmtId="0" fontId="1" fillId="9" borderId="0" xfId="0" applyFont="1" applyFill="1" applyAlignment="1">
      <alignment vertical="top" wrapText="1"/>
    </xf>
    <xf numFmtId="0" fontId="30" fillId="9" borderId="0" xfId="0" applyFont="1" applyFill="1" applyAlignment="1">
      <alignment vertical="top" wrapText="1"/>
    </xf>
    <xf numFmtId="0" fontId="17" fillId="9" borderId="0" xfId="0" applyFont="1" applyFill="1" applyAlignment="1">
      <alignment vertical="top" wrapText="1"/>
    </xf>
    <xf numFmtId="0" fontId="30" fillId="9" borderId="0" xfId="0" applyFont="1" applyFill="1" applyAlignment="1">
      <alignment vertical="top"/>
    </xf>
    <xf numFmtId="0" fontId="0" fillId="9" borderId="0" xfId="0" applyFill="1" applyAlignment="1">
      <alignment vertical="top" wrapText="1"/>
    </xf>
    <xf numFmtId="0" fontId="29" fillId="9" borderId="0" xfId="0" applyFont="1" applyFill="1" applyAlignment="1">
      <alignment vertical="top" wrapText="1"/>
    </xf>
    <xf numFmtId="0" fontId="11" fillId="9" borderId="0" xfId="0" applyFont="1" applyFill="1" applyAlignment="1">
      <alignment horizontal="left" vertical="top" wrapText="1"/>
    </xf>
    <xf numFmtId="0" fontId="4" fillId="9" borderId="15" xfId="0" applyFont="1" applyFill="1" applyBorder="1" applyAlignment="1">
      <alignment vertical="top" wrapText="1"/>
    </xf>
    <xf numFmtId="0" fontId="4" fillId="9" borderId="0" xfId="0" applyFont="1" applyFill="1" applyAlignment="1">
      <alignment vertical="top" wrapText="1"/>
    </xf>
    <xf numFmtId="0" fontId="32" fillId="9" borderId="0" xfId="0" applyFont="1" applyFill="1" applyAlignment="1">
      <alignment vertical="top" wrapText="1"/>
    </xf>
    <xf numFmtId="0" fontId="0" fillId="9" borderId="17" xfId="0" applyFill="1" applyBorder="1" applyAlignment="1">
      <alignment vertical="top" wrapText="1"/>
    </xf>
    <xf numFmtId="0" fontId="1" fillId="9" borderId="17" xfId="0" applyFont="1" applyFill="1" applyBorder="1" applyAlignment="1">
      <alignment horizontal="right" wrapText="1"/>
    </xf>
    <xf numFmtId="0" fontId="0" fillId="9" borderId="17" xfId="0" applyFill="1" applyBorder="1" applyAlignment="1">
      <alignment vertical="top"/>
    </xf>
    <xf numFmtId="0" fontId="1" fillId="9" borderId="0" xfId="0" applyFont="1" applyFill="1" applyAlignment="1">
      <alignment wrapText="1"/>
    </xf>
    <xf numFmtId="0" fontId="32" fillId="9" borderId="0" xfId="0" applyFont="1" applyFill="1" applyAlignment="1">
      <alignment wrapText="1"/>
    </xf>
    <xf numFmtId="0" fontId="0" fillId="9" borderId="19" xfId="0" applyFill="1" applyBorder="1" applyAlignment="1">
      <alignment vertical="top"/>
    </xf>
    <xf numFmtId="0" fontId="4" fillId="9" borderId="17" xfId="0" applyFont="1" applyFill="1" applyBorder="1" applyAlignment="1">
      <alignment vertical="top" wrapText="1"/>
    </xf>
    <xf numFmtId="0" fontId="4" fillId="9" borderId="17" xfId="0" applyFont="1" applyFill="1" applyBorder="1"/>
    <xf numFmtId="0" fontId="4" fillId="9" borderId="24" xfId="0" applyFont="1" applyFill="1" applyBorder="1"/>
    <xf numFmtId="0" fontId="4" fillId="9" borderId="0" xfId="0" applyFont="1" applyFill="1"/>
    <xf numFmtId="0" fontId="26" fillId="9" borderId="3" xfId="0" applyFont="1" applyFill="1" applyBorder="1" applyAlignment="1">
      <alignment horizontal="right" wrapText="1"/>
    </xf>
    <xf numFmtId="0" fontId="26" fillId="9" borderId="22" xfId="0" applyFont="1" applyFill="1" applyBorder="1" applyAlignment="1">
      <alignment horizontal="right" wrapText="1"/>
    </xf>
    <xf numFmtId="0" fontId="26" fillId="9" borderId="4" xfId="0" applyFont="1" applyFill="1" applyBorder="1" applyAlignment="1">
      <alignment horizontal="right" wrapText="1"/>
    </xf>
    <xf numFmtId="0" fontId="1" fillId="9" borderId="0" xfId="0" applyFont="1" applyFill="1" applyAlignment="1">
      <alignment vertical="top"/>
    </xf>
    <xf numFmtId="0" fontId="34" fillId="7" borderId="0" xfId="1" applyFont="1" applyFill="1"/>
    <xf numFmtId="0" fontId="35" fillId="7" borderId="0" xfId="1" applyFont="1" applyFill="1" applyAlignment="1">
      <alignment horizontal="center" vertical="center"/>
    </xf>
    <xf numFmtId="0" fontId="35" fillId="7" borderId="0" xfId="1" applyFont="1" applyFill="1" applyAlignment="1">
      <alignment horizontal="center" vertical="center" wrapText="1"/>
    </xf>
    <xf numFmtId="0" fontId="35" fillId="10" borderId="26" xfId="1" applyFont="1" applyFill="1" applyBorder="1" applyAlignment="1">
      <alignment horizontal="center" vertical="center"/>
    </xf>
    <xf numFmtId="0" fontId="35" fillId="10" borderId="27" xfId="1" applyFont="1" applyFill="1" applyBorder="1" applyAlignment="1">
      <alignment horizontal="center" vertical="center" wrapText="1"/>
    </xf>
    <xf numFmtId="0" fontId="35" fillId="10" borderId="27" xfId="1" applyFont="1" applyFill="1" applyBorder="1" applyAlignment="1">
      <alignment horizontal="center" vertical="center"/>
    </xf>
    <xf numFmtId="0" fontId="35" fillId="10" borderId="28" xfId="1" applyFont="1" applyFill="1" applyBorder="1" applyAlignment="1">
      <alignment horizontal="center" vertical="center" wrapText="1"/>
    </xf>
    <xf numFmtId="0" fontId="35" fillId="7" borderId="0" xfId="1" applyFont="1" applyFill="1" applyAlignment="1">
      <alignment vertical="center" wrapText="1"/>
    </xf>
    <xf numFmtId="0" fontId="36" fillId="7" borderId="0" xfId="1" applyFont="1" applyFill="1" applyAlignment="1">
      <alignment horizontal="center" vertical="center"/>
    </xf>
    <xf numFmtId="15" fontId="36" fillId="7" borderId="0" xfId="1" applyNumberFormat="1" applyFont="1" applyFill="1" applyAlignment="1">
      <alignment horizontal="center" vertical="center"/>
    </xf>
    <xf numFmtId="0" fontId="36" fillId="0" borderId="29" xfId="1" applyFont="1" applyBorder="1" applyAlignment="1">
      <alignment horizontal="center" vertical="center"/>
    </xf>
    <xf numFmtId="15" fontId="36" fillId="0" borderId="30" xfId="1" applyNumberFormat="1" applyFont="1" applyBorder="1" applyAlignment="1">
      <alignment horizontal="center" vertical="center"/>
    </xf>
    <xf numFmtId="0" fontId="36" fillId="0" borderId="30" xfId="1" applyFont="1" applyBorder="1" applyAlignment="1">
      <alignment horizontal="center" vertical="center"/>
    </xf>
    <xf numFmtId="0" fontId="36" fillId="0" borderId="31" xfId="1" applyFont="1" applyBorder="1" applyAlignment="1">
      <alignment horizontal="center" vertical="center"/>
    </xf>
    <xf numFmtId="0" fontId="36" fillId="7" borderId="0" xfId="1" applyFont="1" applyFill="1" applyAlignment="1">
      <alignment vertical="center"/>
    </xf>
    <xf numFmtId="15" fontId="35" fillId="7" borderId="0" xfId="1" applyNumberFormat="1" applyFont="1" applyFill="1" applyAlignment="1">
      <alignment horizontal="center" vertical="center"/>
    </xf>
    <xf numFmtId="0" fontId="35" fillId="10" borderId="29" xfId="1" applyFont="1" applyFill="1" applyBorder="1" applyAlignment="1">
      <alignment horizontal="center" vertical="center"/>
    </xf>
    <xf numFmtId="15" fontId="35" fillId="10" borderId="30" xfId="1" applyNumberFormat="1" applyFont="1" applyFill="1" applyBorder="1" applyAlignment="1">
      <alignment horizontal="center" vertical="center"/>
    </xf>
    <xf numFmtId="0" fontId="35" fillId="10" borderId="30" xfId="1" applyFont="1" applyFill="1" applyBorder="1" applyAlignment="1">
      <alignment horizontal="center" vertical="center"/>
    </xf>
    <xf numFmtId="0" fontId="35" fillId="10" borderId="31" xfId="1" applyFont="1" applyFill="1" applyBorder="1" applyAlignment="1">
      <alignment horizontal="center" vertical="center"/>
    </xf>
    <xf numFmtId="0" fontId="35" fillId="7" borderId="0" xfId="1" applyFont="1" applyFill="1" applyAlignment="1">
      <alignment vertical="center"/>
    </xf>
    <xf numFmtId="0" fontId="37" fillId="7" borderId="0" xfId="1" applyFont="1" applyFill="1" applyAlignment="1">
      <alignment horizontal="center" vertical="center"/>
    </xf>
    <xf numFmtId="0" fontId="37" fillId="0" borderId="29" xfId="1" applyFont="1" applyBorder="1" applyAlignment="1">
      <alignment horizontal="center" vertical="center"/>
    </xf>
    <xf numFmtId="0" fontId="37" fillId="0" borderId="30" xfId="1" applyFont="1" applyBorder="1" applyAlignment="1">
      <alignment horizontal="center" vertical="center"/>
    </xf>
    <xf numFmtId="0" fontId="5" fillId="0" borderId="31" xfId="1" applyFont="1" applyBorder="1" applyAlignment="1">
      <alignment horizontal="center" vertical="center"/>
    </xf>
    <xf numFmtId="0" fontId="5" fillId="7" borderId="0" xfId="1" applyFont="1" applyFill="1" applyAlignment="1">
      <alignment vertical="center"/>
    </xf>
    <xf numFmtId="17" fontId="28" fillId="9" borderId="17" xfId="3" applyNumberFormat="1" applyFont="1" applyFill="1" applyBorder="1"/>
    <xf numFmtId="0" fontId="1" fillId="9" borderId="22" xfId="0" applyFont="1" applyFill="1" applyBorder="1"/>
    <xf numFmtId="0" fontId="1" fillId="9" borderId="23" xfId="0" applyFont="1" applyFill="1" applyBorder="1"/>
    <xf numFmtId="0" fontId="25" fillId="9" borderId="23" xfId="0" applyFont="1" applyFill="1" applyBorder="1" applyAlignment="1">
      <alignment vertical="top" wrapText="1"/>
    </xf>
    <xf numFmtId="0" fontId="4" fillId="9" borderId="17" xfId="0" applyFont="1" applyFill="1" applyBorder="1" applyAlignment="1">
      <alignment wrapText="1"/>
    </xf>
    <xf numFmtId="0" fontId="4" fillId="0" borderId="17" xfId="0" applyFont="1" applyBorder="1" applyAlignment="1">
      <alignment horizontal="right"/>
    </xf>
    <xf numFmtId="0" fontId="38" fillId="11" borderId="32" xfId="0" applyFont="1" applyFill="1" applyBorder="1" applyAlignment="1">
      <alignment vertical="center" wrapText="1"/>
    </xf>
    <xf numFmtId="0" fontId="38" fillId="11" borderId="21" xfId="0" applyFont="1" applyFill="1" applyBorder="1" applyAlignment="1">
      <alignment vertical="center" wrapText="1"/>
    </xf>
    <xf numFmtId="0" fontId="38" fillId="11" borderId="33" xfId="0" applyFont="1" applyFill="1" applyBorder="1" applyAlignment="1">
      <alignment vertical="center" wrapText="1"/>
    </xf>
    <xf numFmtId="0" fontId="39" fillId="0" borderId="33" xfId="0" applyFont="1" applyBorder="1" applyAlignment="1">
      <alignment vertical="center" wrapText="1"/>
    </xf>
    <xf numFmtId="16" fontId="23" fillId="0" borderId="32" xfId="0" applyNumberFormat="1" applyFont="1" applyBorder="1" applyAlignment="1">
      <alignment horizontal="center" vertical="center"/>
    </xf>
    <xf numFmtId="16" fontId="23" fillId="0" borderId="21" xfId="0" applyNumberFormat="1" applyFont="1" applyBorder="1" applyAlignment="1">
      <alignment horizontal="center" vertical="center"/>
    </xf>
    <xf numFmtId="0" fontId="23" fillId="0" borderId="33" xfId="0" applyFont="1" applyBorder="1" applyAlignment="1">
      <alignment horizontal="center" vertical="center"/>
    </xf>
    <xf numFmtId="16" fontId="23" fillId="0" borderId="33" xfId="0" applyNumberFormat="1" applyFont="1" applyBorder="1" applyAlignment="1">
      <alignment horizontal="center" vertical="center"/>
    </xf>
    <xf numFmtId="0" fontId="23" fillId="0" borderId="0" xfId="0" applyFont="1" applyAlignment="1">
      <alignment horizontal="center" vertical="center"/>
    </xf>
    <xf numFmtId="0" fontId="23" fillId="0" borderId="1" xfId="0" applyFont="1" applyBorder="1" applyAlignment="1">
      <alignment horizontal="center" vertical="center"/>
    </xf>
    <xf numFmtId="0" fontId="23" fillId="0" borderId="23" xfId="0" applyFont="1" applyBorder="1" applyAlignment="1">
      <alignment vertical="center" wrapText="1"/>
    </xf>
    <xf numFmtId="0" fontId="23" fillId="0" borderId="23" xfId="0" applyFont="1" applyBorder="1" applyAlignment="1">
      <alignment vertical="center"/>
    </xf>
    <xf numFmtId="0" fontId="23" fillId="0" borderId="34" xfId="0" applyFont="1" applyBorder="1" applyAlignment="1">
      <alignment vertical="center" wrapText="1"/>
    </xf>
    <xf numFmtId="0" fontId="23" fillId="0" borderId="34" xfId="0" applyFont="1" applyBorder="1" applyAlignment="1">
      <alignment vertical="center"/>
    </xf>
    <xf numFmtId="0" fontId="0" fillId="0" borderId="1" xfId="0" applyBorder="1" applyAlignment="1">
      <alignment horizontal="center" vertical="top"/>
    </xf>
    <xf numFmtId="0" fontId="0" fillId="0" borderId="35" xfId="0" applyBorder="1" applyAlignment="1">
      <alignment horizontal="center" vertical="top"/>
    </xf>
    <xf numFmtId="0" fontId="10" fillId="7" borderId="17" xfId="1" quotePrefix="1" applyFill="1" applyBorder="1" applyAlignment="1">
      <alignment horizontal="left" vertical="top"/>
    </xf>
    <xf numFmtId="0" fontId="20" fillId="9" borderId="17" xfId="1" applyFont="1" applyFill="1" applyBorder="1" applyAlignment="1">
      <alignment horizontal="left" vertical="top"/>
    </xf>
    <xf numFmtId="0" fontId="20" fillId="9" borderId="17" xfId="1" applyFont="1" applyFill="1" applyBorder="1" applyAlignment="1">
      <alignment vertical="top"/>
    </xf>
    <xf numFmtId="0" fontId="20" fillId="9" borderId="17" xfId="1" applyFont="1" applyFill="1" applyBorder="1" applyAlignment="1">
      <alignment horizontal="center" vertical="top"/>
    </xf>
    <xf numFmtId="0" fontId="20" fillId="9" borderId="17" xfId="1" applyFont="1" applyFill="1" applyBorder="1" applyAlignment="1">
      <alignment vertical="top" wrapText="1"/>
    </xf>
    <xf numFmtId="0" fontId="10" fillId="9" borderId="17" xfId="1" applyFill="1" applyBorder="1" applyAlignment="1">
      <alignment vertical="top"/>
    </xf>
    <xf numFmtId="0" fontId="10" fillId="7" borderId="17" xfId="1" applyFill="1" applyBorder="1" applyAlignment="1">
      <alignment horizontal="left" vertical="top"/>
    </xf>
    <xf numFmtId="0" fontId="10" fillId="0" borderId="17" xfId="1" applyBorder="1" applyAlignment="1">
      <alignment vertical="top"/>
    </xf>
    <xf numFmtId="0" fontId="10" fillId="7" borderId="17" xfId="1" applyFill="1" applyBorder="1" applyAlignment="1">
      <alignment vertical="top"/>
    </xf>
    <xf numFmtId="0" fontId="10" fillId="0" borderId="17" xfId="1" applyBorder="1" applyAlignment="1">
      <alignment vertical="top" wrapText="1"/>
    </xf>
    <xf numFmtId="0" fontId="22" fillId="7" borderId="17" xfId="2" applyFill="1" applyBorder="1" applyAlignment="1">
      <alignment vertical="top"/>
    </xf>
    <xf numFmtId="0" fontId="22" fillId="7" borderId="17" xfId="2" applyFill="1" applyBorder="1" applyAlignment="1">
      <alignment vertical="top" wrapText="1"/>
    </xf>
    <xf numFmtId="0" fontId="10" fillId="7" borderId="17" xfId="1" applyFill="1" applyBorder="1" applyAlignment="1">
      <alignment vertical="top" wrapText="1"/>
    </xf>
    <xf numFmtId="0" fontId="10" fillId="0" borderId="17" xfId="1" applyBorder="1" applyAlignment="1">
      <alignment horizontal="left" vertical="top"/>
    </xf>
    <xf numFmtId="0" fontId="22" fillId="0" borderId="17" xfId="2" applyBorder="1" applyAlignment="1">
      <alignment vertical="top"/>
    </xf>
    <xf numFmtId="0" fontId="23" fillId="0" borderId="17" xfId="1" applyFont="1" applyBorder="1" applyAlignment="1">
      <alignment horizontal="left" vertical="top"/>
    </xf>
    <xf numFmtId="0" fontId="10" fillId="7" borderId="17" xfId="1" applyFill="1" applyBorder="1" applyAlignment="1">
      <alignment horizontal="left" vertical="top" wrapText="1"/>
    </xf>
    <xf numFmtId="16" fontId="10" fillId="0" borderId="17" xfId="1" applyNumberFormat="1" applyBorder="1" applyAlignment="1">
      <alignment vertical="top"/>
    </xf>
    <xf numFmtId="0" fontId="10" fillId="0" borderId="18" xfId="1" applyBorder="1" applyAlignment="1">
      <alignment vertical="top"/>
    </xf>
    <xf numFmtId="0" fontId="10" fillId="0" borderId="19" xfId="1" applyBorder="1" applyAlignment="1">
      <alignment vertical="top"/>
    </xf>
    <xf numFmtId="0" fontId="10" fillId="0" borderId="19" xfId="1" applyBorder="1" applyAlignment="1">
      <alignment vertical="top" wrapText="1"/>
    </xf>
    <xf numFmtId="0" fontId="10" fillId="8" borderId="17" xfId="1" applyFill="1" applyBorder="1" applyAlignment="1">
      <alignment horizontal="left" vertical="top"/>
    </xf>
    <xf numFmtId="0" fontId="10" fillId="8" borderId="17" xfId="1" applyFill="1" applyBorder="1" applyAlignment="1">
      <alignment vertical="top"/>
    </xf>
    <xf numFmtId="0" fontId="10" fillId="8" borderId="17" xfId="1" applyFill="1" applyBorder="1" applyAlignment="1">
      <alignment vertical="top" wrapText="1"/>
    </xf>
    <xf numFmtId="0" fontId="10" fillId="0" borderId="0" xfId="1" applyAlignment="1">
      <alignment horizontal="left" vertical="top"/>
    </xf>
    <xf numFmtId="0" fontId="10" fillId="0" borderId="0" xfId="1" applyAlignment="1">
      <alignment vertical="top"/>
    </xf>
    <xf numFmtId="0" fontId="10" fillId="0" borderId="0" xfId="1" applyAlignment="1">
      <alignment vertical="top" wrapText="1"/>
    </xf>
    <xf numFmtId="0" fontId="40" fillId="0" borderId="0" xfId="0" applyFont="1" applyAlignment="1">
      <alignment vertical="top"/>
    </xf>
    <xf numFmtId="0" fontId="40" fillId="0" borderId="17" xfId="0" applyFont="1" applyBorder="1" applyAlignment="1">
      <alignment vertical="top"/>
    </xf>
    <xf numFmtId="0" fontId="10" fillId="12" borderId="17" xfId="1" applyFill="1" applyBorder="1" applyAlignment="1">
      <alignment vertical="top"/>
    </xf>
    <xf numFmtId="0" fontId="42" fillId="7" borderId="17" xfId="1" quotePrefix="1" applyFont="1" applyFill="1" applyBorder="1" applyAlignment="1">
      <alignment horizontal="left" vertical="top"/>
    </xf>
    <xf numFmtId="0" fontId="42" fillId="7" borderId="17" xfId="1" applyFont="1" applyFill="1" applyBorder="1" applyAlignment="1">
      <alignment horizontal="left" vertical="top"/>
    </xf>
    <xf numFmtId="0" fontId="42" fillId="0" borderId="17" xfId="1" applyFont="1" applyBorder="1" applyAlignment="1">
      <alignment vertical="top"/>
    </xf>
    <xf numFmtId="0" fontId="42" fillId="7" borderId="17" xfId="1" applyFont="1" applyFill="1" applyBorder="1" applyAlignment="1">
      <alignment vertical="top" wrapText="1"/>
    </xf>
    <xf numFmtId="0" fontId="42" fillId="0" borderId="17" xfId="1" applyFont="1" applyBorder="1" applyAlignment="1">
      <alignment vertical="top" wrapText="1"/>
    </xf>
    <xf numFmtId="16" fontId="42" fillId="0" borderId="17" xfId="1" applyNumberFormat="1" applyFont="1" applyBorder="1" applyAlignment="1">
      <alignment vertical="top"/>
    </xf>
    <xf numFmtId="0" fontId="42" fillId="7" borderId="17" xfId="1" applyFont="1" applyFill="1" applyBorder="1" applyAlignment="1">
      <alignment horizontal="left" vertical="top" wrapText="1"/>
    </xf>
    <xf numFmtId="0" fontId="42" fillId="7" borderId="17" xfId="1" applyFont="1" applyFill="1" applyBorder="1" applyAlignment="1">
      <alignment vertical="top"/>
    </xf>
    <xf numFmtId="0" fontId="10" fillId="0" borderId="17" xfId="1" quotePrefix="1" applyBorder="1" applyAlignment="1">
      <alignment horizontal="left" vertical="top"/>
    </xf>
    <xf numFmtId="0" fontId="40" fillId="7" borderId="17" xfId="0" applyFont="1" applyFill="1" applyBorder="1" applyAlignment="1">
      <alignment vertical="top"/>
    </xf>
    <xf numFmtId="0" fontId="0" fillId="0" borderId="7" xfId="0" applyBorder="1" applyAlignment="1">
      <alignment horizontal="center" vertical="top"/>
    </xf>
    <xf numFmtId="0" fontId="42" fillId="12" borderId="17" xfId="1" quotePrefix="1" applyFont="1" applyFill="1" applyBorder="1" applyAlignment="1">
      <alignment horizontal="left" vertical="top"/>
    </xf>
    <xf numFmtId="0" fontId="42" fillId="12" borderId="17" xfId="1" applyFont="1" applyFill="1" applyBorder="1" applyAlignment="1">
      <alignment horizontal="left" vertical="top"/>
    </xf>
    <xf numFmtId="0" fontId="42" fillId="12" borderId="17" xfId="1" applyFont="1" applyFill="1" applyBorder="1" applyAlignment="1">
      <alignment vertical="top"/>
    </xf>
    <xf numFmtId="0" fontId="42" fillId="12" borderId="17" xfId="1" applyFont="1" applyFill="1" applyBorder="1" applyAlignment="1">
      <alignment vertical="top" wrapText="1"/>
    </xf>
    <xf numFmtId="0" fontId="40" fillId="12" borderId="17" xfId="0" applyFont="1" applyFill="1" applyBorder="1" applyAlignment="1">
      <alignment vertical="top"/>
    </xf>
    <xf numFmtId="0" fontId="10" fillId="12" borderId="17" xfId="1" applyFill="1" applyBorder="1" applyAlignment="1">
      <alignment vertical="top" wrapText="1"/>
    </xf>
    <xf numFmtId="0" fontId="21" fillId="0" borderId="17" xfId="1" applyFont="1" applyBorder="1" applyAlignment="1">
      <alignment vertical="top" wrapText="1"/>
    </xf>
    <xf numFmtId="0" fontId="10" fillId="0" borderId="8" xfId="1" quotePrefix="1" applyBorder="1" applyAlignment="1">
      <alignment horizontal="left" vertical="top"/>
    </xf>
    <xf numFmtId="0" fontId="43" fillId="0" borderId="0" xfId="0" applyFont="1" applyAlignment="1">
      <alignment horizontal="left" vertical="top" wrapText="1"/>
    </xf>
    <xf numFmtId="0" fontId="43" fillId="0" borderId="0" xfId="0" applyFont="1" applyAlignment="1">
      <alignment horizontal="left" vertical="top"/>
    </xf>
    <xf numFmtId="0" fontId="9" fillId="0" borderId="0" xfId="0" applyFont="1" applyAlignment="1">
      <alignment horizontal="left"/>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xf>
    <xf numFmtId="0" fontId="0" fillId="0" borderId="0" xfId="0" applyAlignment="1">
      <alignment horizontal="left"/>
    </xf>
    <xf numFmtId="0" fontId="0" fillId="0" borderId="10" xfId="0" applyBorder="1" applyAlignment="1">
      <alignment horizontal="left" wrapText="1"/>
    </xf>
    <xf numFmtId="0" fontId="0" fillId="0" borderId="0" xfId="0"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13" fillId="0" borderId="11" xfId="1" applyFont="1" applyBorder="1" applyAlignment="1">
      <alignment horizontal="left" vertical="top" wrapText="1"/>
    </xf>
    <xf numFmtId="0" fontId="13" fillId="0" borderId="12" xfId="1" applyFont="1" applyBorder="1" applyAlignment="1">
      <alignment horizontal="left" vertical="top" wrapText="1"/>
    </xf>
    <xf numFmtId="0" fontId="13" fillId="0" borderId="16" xfId="1" applyFont="1" applyBorder="1" applyAlignment="1">
      <alignment horizontal="left" vertical="top" wrapText="1"/>
    </xf>
    <xf numFmtId="0" fontId="16" fillId="0" borderId="13" xfId="1" applyFont="1" applyBorder="1" applyAlignment="1">
      <alignment horizontal="left" vertical="top" wrapText="1"/>
    </xf>
    <xf numFmtId="0" fontId="17" fillId="0" borderId="14" xfId="1" applyFont="1" applyBorder="1" applyAlignment="1">
      <alignment horizontal="left" vertical="top" wrapText="1"/>
    </xf>
    <xf numFmtId="0" fontId="17" fillId="0" borderId="18" xfId="1" applyFont="1" applyBorder="1" applyAlignment="1">
      <alignment horizontal="left" vertical="top" wrapText="1"/>
    </xf>
    <xf numFmtId="0" fontId="4" fillId="6" borderId="2" xfId="1" applyFont="1" applyFill="1" applyBorder="1" applyAlignment="1">
      <alignment horizontal="center" vertical="top" wrapText="1"/>
    </xf>
    <xf numFmtId="0" fontId="4" fillId="6" borderId="3" xfId="1" applyFont="1" applyFill="1" applyBorder="1" applyAlignment="1">
      <alignment horizontal="center" vertical="top"/>
    </xf>
    <xf numFmtId="0" fontId="4" fillId="6" borderId="4" xfId="1" applyFont="1" applyFill="1" applyBorder="1" applyAlignment="1">
      <alignment horizontal="center" vertical="top"/>
    </xf>
    <xf numFmtId="0" fontId="19" fillId="0" borderId="12" xfId="1" applyFont="1" applyBorder="1" applyAlignment="1">
      <alignment horizontal="center" vertical="top"/>
    </xf>
    <xf numFmtId="0" fontId="14" fillId="9" borderId="17" xfId="0" applyFont="1" applyFill="1" applyBorder="1" applyAlignment="1">
      <alignment horizontal="left" vertical="top" wrapText="1"/>
    </xf>
    <xf numFmtId="0" fontId="24" fillId="9" borderId="21" xfId="0" applyFont="1" applyFill="1" applyBorder="1" applyAlignment="1">
      <alignment horizontal="center" vertical="top" wrapText="1"/>
    </xf>
    <xf numFmtId="0" fontId="24" fillId="9" borderId="22" xfId="0" applyFont="1" applyFill="1" applyBorder="1" applyAlignment="1">
      <alignment horizontal="center" vertical="top" wrapText="1"/>
    </xf>
    <xf numFmtId="0" fontId="25" fillId="9" borderId="21" xfId="0" applyFont="1" applyFill="1" applyBorder="1" applyAlignment="1">
      <alignment horizontal="center" vertical="top" wrapText="1"/>
    </xf>
    <xf numFmtId="0" fontId="25" fillId="9" borderId="22" xfId="0" applyFont="1" applyFill="1" applyBorder="1" applyAlignment="1">
      <alignment horizontal="center" vertical="top" wrapText="1"/>
    </xf>
    <xf numFmtId="0" fontId="25" fillId="9" borderId="22" xfId="0" applyFont="1" applyFill="1" applyBorder="1" applyAlignment="1">
      <alignment horizontal="center" vertical="top"/>
    </xf>
    <xf numFmtId="0" fontId="25" fillId="9" borderId="23" xfId="0" applyFont="1" applyFill="1" applyBorder="1" applyAlignment="1">
      <alignment horizontal="center" vertical="top"/>
    </xf>
    <xf numFmtId="0" fontId="31" fillId="9" borderId="15" xfId="0" applyFont="1" applyFill="1" applyBorder="1" applyAlignment="1">
      <alignment horizontal="left" vertical="top" wrapText="1"/>
    </xf>
    <xf numFmtId="0" fontId="4" fillId="7" borderId="17" xfId="0" applyFont="1" applyFill="1" applyBorder="1" applyAlignment="1">
      <alignment horizontal="center"/>
    </xf>
    <xf numFmtId="0" fontId="14" fillId="9" borderId="13" xfId="0" applyFont="1" applyFill="1" applyBorder="1" applyAlignment="1">
      <alignment horizontal="center" vertical="top" wrapText="1"/>
    </xf>
    <xf numFmtId="0" fontId="14" fillId="9" borderId="14" xfId="0" applyFont="1" applyFill="1" applyBorder="1" applyAlignment="1">
      <alignment horizontal="center" vertical="top" wrapText="1"/>
    </xf>
    <xf numFmtId="0" fontId="14" fillId="9" borderId="18" xfId="0" applyFont="1" applyFill="1" applyBorder="1" applyAlignment="1">
      <alignment horizontal="center" vertical="top" wrapText="1"/>
    </xf>
    <xf numFmtId="0" fontId="14" fillId="9" borderId="13" xfId="0" applyFont="1" applyFill="1" applyBorder="1" applyAlignment="1">
      <alignment horizontal="left" vertical="top" wrapText="1"/>
    </xf>
    <xf numFmtId="0" fontId="14" fillId="9" borderId="14" xfId="0" applyFont="1" applyFill="1" applyBorder="1" applyAlignment="1">
      <alignment horizontal="left" vertical="top" wrapText="1"/>
    </xf>
    <xf numFmtId="0" fontId="14" fillId="9" borderId="18" xfId="0" applyFont="1" applyFill="1" applyBorder="1" applyAlignment="1">
      <alignment horizontal="left" vertical="top" wrapText="1"/>
    </xf>
    <xf numFmtId="0" fontId="1" fillId="9" borderId="13" xfId="0" applyFont="1" applyFill="1" applyBorder="1" applyAlignment="1">
      <alignment horizontal="center"/>
    </xf>
    <xf numFmtId="0" fontId="1" fillId="9" borderId="14" xfId="0" applyFont="1" applyFill="1" applyBorder="1" applyAlignment="1">
      <alignment horizontal="center"/>
    </xf>
    <xf numFmtId="0" fontId="1" fillId="9" borderId="18" xfId="0" applyFont="1" applyFill="1" applyBorder="1" applyAlignment="1">
      <alignment horizontal="center"/>
    </xf>
    <xf numFmtId="0" fontId="25" fillId="7" borderId="21" xfId="0" applyFont="1" applyFill="1" applyBorder="1" applyAlignment="1">
      <alignment horizontal="center" vertical="top" wrapText="1"/>
    </xf>
    <xf numFmtId="0" fontId="25" fillId="7" borderId="22" xfId="0" applyFont="1" applyFill="1" applyBorder="1" applyAlignment="1">
      <alignment horizontal="center" vertical="top"/>
    </xf>
    <xf numFmtId="0" fontId="25" fillId="7" borderId="23" xfId="0" applyFont="1" applyFill="1" applyBorder="1" applyAlignment="1">
      <alignment horizontal="center" vertical="top"/>
    </xf>
    <xf numFmtId="0" fontId="4" fillId="7" borderId="15" xfId="0" applyFont="1" applyFill="1" applyBorder="1" applyAlignment="1">
      <alignment horizontal="left" vertical="top" wrapText="1"/>
    </xf>
    <xf numFmtId="0" fontId="0" fillId="7" borderId="17" xfId="0" applyFill="1" applyBorder="1" applyAlignment="1">
      <alignment horizontal="left" vertical="top" wrapText="1"/>
    </xf>
    <xf numFmtId="0" fontId="0" fillId="7" borderId="13" xfId="0" applyFill="1" applyBorder="1" applyAlignment="1">
      <alignment horizontal="left"/>
    </xf>
    <xf numFmtId="0" fontId="0" fillId="7" borderId="18" xfId="0" applyFill="1" applyBorder="1" applyAlignment="1">
      <alignment horizontal="left"/>
    </xf>
    <xf numFmtId="0" fontId="0" fillId="7" borderId="17" xfId="0" applyFill="1" applyBorder="1" applyAlignment="1">
      <alignment horizontal="left"/>
    </xf>
    <xf numFmtId="0" fontId="26" fillId="7" borderId="11" xfId="0" applyFont="1" applyFill="1" applyBorder="1" applyAlignment="1">
      <alignment horizontal="left" vertical="top" wrapText="1"/>
    </xf>
    <xf numFmtId="0" fontId="26" fillId="7" borderId="16" xfId="0" applyFont="1" applyFill="1" applyBorder="1" applyAlignment="1">
      <alignment horizontal="left" vertical="top" wrapText="1"/>
    </xf>
    <xf numFmtId="0" fontId="26" fillId="7" borderId="17" xfId="0" applyFont="1" applyFill="1" applyBorder="1" applyAlignment="1">
      <alignment horizontal="left" vertical="top" wrapText="1"/>
    </xf>
    <xf numFmtId="0" fontId="34" fillId="7" borderId="25" xfId="1" applyFont="1" applyFill="1" applyBorder="1" applyAlignment="1">
      <alignment horizontal="center"/>
    </xf>
    <xf numFmtId="0" fontId="10" fillId="13" borderId="17" xfId="1" applyFill="1" applyBorder="1"/>
    <xf numFmtId="0" fontId="42" fillId="13" borderId="17" xfId="1" quotePrefix="1" applyFont="1" applyFill="1" applyBorder="1" applyAlignment="1">
      <alignment horizontal="left" vertical="top"/>
    </xf>
    <xf numFmtId="0" fontId="42" fillId="13" borderId="17" xfId="1" applyFont="1" applyFill="1" applyBorder="1" applyAlignment="1">
      <alignment horizontal="left" vertical="top"/>
    </xf>
    <xf numFmtId="0" fontId="42" fillId="13" borderId="17" xfId="1" applyFont="1" applyFill="1" applyBorder="1" applyAlignment="1">
      <alignment vertical="top"/>
    </xf>
    <xf numFmtId="0" fontId="42" fillId="13" borderId="17" xfId="1" applyFont="1" applyFill="1" applyBorder="1" applyAlignment="1">
      <alignment vertical="top" wrapText="1"/>
    </xf>
    <xf numFmtId="0" fontId="10" fillId="13" borderId="17" xfId="1" applyFill="1" applyBorder="1" applyAlignment="1">
      <alignment vertical="top" wrapText="1"/>
    </xf>
    <xf numFmtId="0" fontId="10" fillId="13" borderId="17" xfId="1" applyFill="1" applyBorder="1" applyAlignment="1">
      <alignment vertical="top"/>
    </xf>
    <xf numFmtId="0" fontId="10" fillId="13" borderId="17" xfId="1" quotePrefix="1" applyFill="1" applyBorder="1" applyAlignment="1">
      <alignment horizontal="left" vertical="top"/>
    </xf>
    <xf numFmtId="0" fontId="10" fillId="13" borderId="17" xfId="1" applyFill="1" applyBorder="1" applyAlignment="1">
      <alignment horizontal="left" vertical="top"/>
    </xf>
    <xf numFmtId="0" fontId="22" fillId="13" borderId="17" xfId="2" applyFill="1" applyBorder="1" applyAlignment="1">
      <alignment vertical="top"/>
    </xf>
    <xf numFmtId="0" fontId="10" fillId="13" borderId="0" xfId="1" applyFill="1"/>
    <xf numFmtId="0" fontId="41" fillId="13" borderId="0" xfId="4" applyFill="1" applyAlignment="1">
      <alignment vertical="top" wrapText="1"/>
    </xf>
    <xf numFmtId="0" fontId="40" fillId="13" borderId="0" xfId="0" applyFont="1" applyFill="1"/>
    <xf numFmtId="0" fontId="10" fillId="13" borderId="19" xfId="1" applyFill="1" applyBorder="1" applyAlignment="1">
      <alignment vertical="top"/>
    </xf>
    <xf numFmtId="0" fontId="10" fillId="13" borderId="19" xfId="1" applyFill="1" applyBorder="1" applyAlignment="1">
      <alignment vertical="top" wrapText="1"/>
    </xf>
    <xf numFmtId="16" fontId="10" fillId="13" borderId="17" xfId="1" applyNumberFormat="1" applyFill="1" applyBorder="1" applyAlignment="1">
      <alignment vertical="top"/>
    </xf>
    <xf numFmtId="0" fontId="10" fillId="13" borderId="19" xfId="1" applyFill="1" applyBorder="1"/>
    <xf numFmtId="0" fontId="10" fillId="13" borderId="8" xfId="1" quotePrefix="1" applyFill="1" applyBorder="1" applyAlignment="1">
      <alignment horizontal="left" vertical="top"/>
    </xf>
    <xf numFmtId="0" fontId="10" fillId="13" borderId="8" xfId="1" applyFill="1" applyBorder="1" applyAlignment="1">
      <alignment horizontal="left" vertical="top"/>
    </xf>
    <xf numFmtId="0" fontId="41" fillId="13" borderId="0" xfId="4" applyFill="1" applyAlignment="1">
      <alignment horizontal="left" vertical="center" wrapText="1" indent="1"/>
    </xf>
    <xf numFmtId="0" fontId="10" fillId="13" borderId="20" xfId="1" applyFill="1" applyBorder="1" applyAlignment="1">
      <alignment vertical="top"/>
    </xf>
    <xf numFmtId="0" fontId="10" fillId="13" borderId="15" xfId="1" applyFill="1" applyBorder="1"/>
    <xf numFmtId="0" fontId="10" fillId="13" borderId="15" xfId="1" quotePrefix="1" applyFill="1" applyBorder="1" applyAlignment="1">
      <alignment horizontal="left" vertical="top"/>
    </xf>
    <xf numFmtId="0" fontId="10" fillId="13" borderId="15" xfId="1" applyFill="1" applyBorder="1" applyAlignment="1">
      <alignment horizontal="left" vertical="top"/>
    </xf>
    <xf numFmtId="0" fontId="10" fillId="13" borderId="15" xfId="1" applyFill="1" applyBorder="1" applyAlignment="1">
      <alignment vertical="top"/>
    </xf>
    <xf numFmtId="0" fontId="10" fillId="13" borderId="15" xfId="1" applyFill="1" applyBorder="1" applyAlignment="1">
      <alignment vertical="top" wrapText="1"/>
    </xf>
    <xf numFmtId="0" fontId="41" fillId="0" borderId="17" xfId="4" applyBorder="1" applyAlignment="1">
      <alignment vertical="top" wrapText="1"/>
    </xf>
    <xf numFmtId="0" fontId="41" fillId="13" borderId="17" xfId="4" applyFill="1" applyBorder="1" applyAlignment="1">
      <alignment vertical="top" wrapText="1"/>
    </xf>
    <xf numFmtId="0" fontId="4" fillId="14" borderId="36" xfId="0" applyFont="1" applyFill="1" applyBorder="1"/>
    <xf numFmtId="0" fontId="44" fillId="0" borderId="29" xfId="1" applyFont="1" applyBorder="1" applyAlignment="1">
      <alignment horizontal="center" vertical="center"/>
    </xf>
    <xf numFmtId="15" fontId="44" fillId="0" borderId="30" xfId="1" applyNumberFormat="1" applyFont="1" applyBorder="1" applyAlignment="1">
      <alignment horizontal="center" vertical="center"/>
    </xf>
    <xf numFmtId="0" fontId="44" fillId="0" borderId="30" xfId="1" applyFont="1" applyBorder="1" applyAlignment="1">
      <alignment horizontal="center" vertical="center"/>
    </xf>
    <xf numFmtId="0" fontId="23" fillId="13" borderId="17" xfId="1" quotePrefix="1" applyFont="1" applyFill="1" applyBorder="1" applyAlignment="1">
      <alignment horizontal="left" vertical="top"/>
    </xf>
    <xf numFmtId="0" fontId="23" fillId="13" borderId="17" xfId="1" applyFont="1" applyFill="1" applyBorder="1" applyAlignment="1">
      <alignment horizontal="left" vertical="top"/>
    </xf>
    <xf numFmtId="0" fontId="23" fillId="13" borderId="17" xfId="1" applyFont="1" applyFill="1" applyBorder="1" applyAlignment="1">
      <alignment vertical="top"/>
    </xf>
    <xf numFmtId="16" fontId="10" fillId="13" borderId="17" xfId="1" applyNumberFormat="1" applyFill="1" applyBorder="1" applyAlignment="1">
      <alignment vertical="top" wrapText="1"/>
    </xf>
    <xf numFmtId="0" fontId="10" fillId="13" borderId="13" xfId="1" applyFill="1" applyBorder="1" applyAlignment="1">
      <alignment vertical="top"/>
    </xf>
  </cellXfs>
  <cellStyles count="5">
    <cellStyle name="Hyperlink" xfId="4" builtinId="8"/>
    <cellStyle name="Hyperlink 2" xfId="2" xr:uid="{B42F94D1-4FD7-4263-88EE-B8957338FA09}"/>
    <cellStyle name="Normal" xfId="0" builtinId="0"/>
    <cellStyle name="Normal 2" xfId="1" xr:uid="{3D8B290B-9CC0-47B2-812D-5DCEA8472873}"/>
    <cellStyle name="Normal 2 2" xfId="3" xr:uid="{5C1DCB33-61CF-4AF2-9AF5-1DAA9325F8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75260</xdr:colOff>
      <xdr:row>1</xdr:row>
      <xdr:rowOff>63835</xdr:rowOff>
    </xdr:from>
    <xdr:to>
      <xdr:col>8</xdr:col>
      <xdr:colOff>91935</xdr:colOff>
      <xdr:row>5</xdr:row>
      <xdr:rowOff>151946</xdr:rowOff>
    </xdr:to>
    <xdr:grpSp>
      <xdr:nvGrpSpPr>
        <xdr:cNvPr id="2" name="Group 1">
          <a:extLst>
            <a:ext uri="{FF2B5EF4-FFF2-40B4-BE49-F238E27FC236}">
              <a16:creationId xmlns:a16="http://schemas.microsoft.com/office/drawing/2014/main" id="{D84C96CC-8AD5-4AE2-BFC2-204D53449FA8}"/>
            </a:ext>
          </a:extLst>
        </xdr:cNvPr>
        <xdr:cNvGrpSpPr/>
      </xdr:nvGrpSpPr>
      <xdr:grpSpPr>
        <a:xfrm>
          <a:off x="9988316" y="299020"/>
          <a:ext cx="2356767" cy="911259"/>
          <a:chOff x="8961389" y="997858"/>
          <a:chExt cx="2887180" cy="1219149"/>
        </a:xfrm>
      </xdr:grpSpPr>
      <xdr:sp macro="" textlink="">
        <xdr:nvSpPr>
          <xdr:cNvPr id="3" name="Rounded Rectangle 5">
            <a:extLst>
              <a:ext uri="{FF2B5EF4-FFF2-40B4-BE49-F238E27FC236}">
                <a16:creationId xmlns:a16="http://schemas.microsoft.com/office/drawing/2014/main" id="{5B92655E-1EE5-3E06-FB4A-F565BD6D00AA}"/>
              </a:ext>
            </a:extLst>
          </xdr:cNvPr>
          <xdr:cNvSpPr/>
        </xdr:nvSpPr>
        <xdr:spPr>
          <a:xfrm>
            <a:off x="8961389" y="997858"/>
            <a:ext cx="2887180" cy="1202577"/>
          </a:xfrm>
          <a:prstGeom prst="roundRect">
            <a:avLst>
              <a:gd name="adj" fmla="val 11210"/>
            </a:avLst>
          </a:prstGeom>
          <a:solidFill>
            <a:schemeClr val="accent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263" rtl="0" eaLnBrk="1" fontAlgn="auto" latinLnBrk="0" hangingPunct="1">
              <a:lnSpc>
                <a:spcPct val="100000"/>
              </a:lnSpc>
              <a:spcBef>
                <a:spcPts val="0"/>
              </a:spcBef>
              <a:spcAft>
                <a:spcPts val="0"/>
              </a:spcAft>
              <a:buClrTx/>
              <a:buSzTx/>
              <a:buFontTx/>
              <a:buNone/>
              <a:tabLst/>
              <a:defRPr/>
            </a:pPr>
            <a:endParaRPr kumimoji="0" lang="en-US" sz="1800" b="0" i="0" u="none" strike="noStrike" kern="1200" cap="none" spc="0" normalizeH="0" baseline="0">
              <a:ln>
                <a:noFill/>
              </a:ln>
              <a:solidFill>
                <a:prstClr val="white"/>
              </a:solidFill>
              <a:effectLst/>
              <a:uLnTx/>
              <a:uFillTx/>
              <a:latin typeface="Century Gothic" panose="020B0502020202020204" pitchFamily="34" charset="0"/>
              <a:ea typeface="+mn-ea"/>
              <a:cs typeface="+mn-cs"/>
            </a:endParaRPr>
          </a:p>
        </xdr:txBody>
      </xdr:sp>
      <xdr:sp macro="" textlink="">
        <xdr:nvSpPr>
          <xdr:cNvPr id="4" name="TextBox 17">
            <a:extLst>
              <a:ext uri="{FF2B5EF4-FFF2-40B4-BE49-F238E27FC236}">
                <a16:creationId xmlns:a16="http://schemas.microsoft.com/office/drawing/2014/main" id="{A3663D6D-E816-3045-0F0B-8B0C56D6041B}"/>
              </a:ext>
            </a:extLst>
          </xdr:cNvPr>
          <xdr:cNvSpPr txBox="1"/>
        </xdr:nvSpPr>
        <xdr:spPr>
          <a:xfrm>
            <a:off x="9073136" y="1115879"/>
            <a:ext cx="1471697" cy="110112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263" rtl="0" eaLnBrk="1" fontAlgn="auto" latinLnBrk="0" hangingPunct="1">
              <a:lnSpc>
                <a:spcPct val="100000"/>
              </a:lnSpc>
              <a:spcBef>
                <a:spcPts val="0"/>
              </a:spcBef>
              <a:spcAft>
                <a:spcPts val="0"/>
              </a:spcAft>
              <a:buClrTx/>
              <a:buSzTx/>
              <a:buFontTx/>
              <a:buNone/>
              <a:tabLst/>
              <a:defRPr/>
            </a:pPr>
            <a:r>
              <a:rPr kumimoji="0" lang="en-US" sz="1200" b="1" i="0" u="none" strike="noStrike" kern="1200" cap="none" spc="0" normalizeH="0" baseline="0">
                <a:ln>
                  <a:noFill/>
                </a:ln>
                <a:solidFill>
                  <a:srgbClr val="FFFFFF"/>
                </a:solidFill>
                <a:effectLst>
                  <a:glow>
                    <a:srgbClr val="FF3399">
                      <a:alpha val="24000"/>
                    </a:srgbClr>
                  </a:glow>
                </a:effectLst>
                <a:uLnTx/>
                <a:uFillTx/>
                <a:latin typeface="Jost Medium"/>
                <a:ea typeface="+mn-ea"/>
                <a:cs typeface="+mn-cs"/>
              </a:rPr>
              <a:t>Overall Portfolio</a:t>
            </a:r>
          </a:p>
          <a:p>
            <a:pPr marL="0" marR="0" lvl="0" indent="0" algn="l" defTabSz="914263" rtl="0" eaLnBrk="1" fontAlgn="auto" latinLnBrk="0" hangingPunct="1">
              <a:lnSpc>
                <a:spcPct val="100000"/>
              </a:lnSpc>
              <a:spcBef>
                <a:spcPts val="0"/>
              </a:spcBef>
              <a:spcAft>
                <a:spcPts val="0"/>
              </a:spcAft>
              <a:buClrTx/>
              <a:buSzTx/>
              <a:buFontTx/>
              <a:buNone/>
              <a:tabLst/>
              <a:defRPr/>
            </a:pPr>
            <a:endParaRPr kumimoji="0" lang="en-US" sz="1200" b="1" i="0" u="none" strike="noStrike" kern="1200" cap="none" spc="0" normalizeH="0" baseline="0">
              <a:ln>
                <a:noFill/>
              </a:ln>
              <a:solidFill>
                <a:srgbClr val="FFFFFF"/>
              </a:solidFill>
              <a:effectLst>
                <a:glow>
                  <a:srgbClr val="FF3399">
                    <a:alpha val="24000"/>
                  </a:srgbClr>
                </a:glow>
              </a:effectLst>
              <a:uLnTx/>
              <a:uFillTx/>
              <a:latin typeface="Jost Medium"/>
              <a:ea typeface="+mn-ea"/>
              <a:cs typeface="+mn-cs"/>
            </a:endParaRPr>
          </a:p>
        </xdr:txBody>
      </xdr:sp>
      <xdr:sp macro="" textlink="">
        <xdr:nvSpPr>
          <xdr:cNvPr id="5" name="Oval 4">
            <a:extLst>
              <a:ext uri="{FF2B5EF4-FFF2-40B4-BE49-F238E27FC236}">
                <a16:creationId xmlns:a16="http://schemas.microsoft.com/office/drawing/2014/main" id="{B7B75906-857D-A300-0708-E1CF54C9559C}"/>
              </a:ext>
            </a:extLst>
          </xdr:cNvPr>
          <xdr:cNvSpPr/>
        </xdr:nvSpPr>
        <xdr:spPr>
          <a:xfrm>
            <a:off x="10805804" y="1219591"/>
            <a:ext cx="759110" cy="759108"/>
          </a:xfrm>
          <a:prstGeom prst="ellipse">
            <a:avLst/>
          </a:prstGeom>
          <a:solidFill>
            <a:schemeClr val="tx1">
              <a:alpha val="2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263" rtl="0" eaLnBrk="1" fontAlgn="auto" latinLnBrk="0" hangingPunct="1">
              <a:lnSpc>
                <a:spcPct val="100000"/>
              </a:lnSpc>
              <a:spcBef>
                <a:spcPts val="0"/>
              </a:spcBef>
              <a:spcAft>
                <a:spcPts val="0"/>
              </a:spcAft>
              <a:buClrTx/>
              <a:buSzTx/>
              <a:buFontTx/>
              <a:buNone/>
              <a:tabLst/>
              <a:defRPr/>
            </a:pPr>
            <a:endParaRPr kumimoji="0" lang="en-US" sz="1800" b="0" i="0" u="none" strike="noStrike" kern="1200" cap="none" spc="0" normalizeH="0" baseline="0">
              <a:ln>
                <a:noFill/>
              </a:ln>
              <a:solidFill>
                <a:prstClr val="white"/>
              </a:solidFill>
              <a:effectLst/>
              <a:uLnTx/>
              <a:uFillTx/>
              <a:latin typeface="Calibri" panose="020F0502020204030204"/>
              <a:ea typeface="+mn-ea"/>
              <a:cs typeface="+mn-cs"/>
            </a:endParaRPr>
          </a:p>
        </xdr:txBody>
      </xdr:sp>
      <xdr:sp macro="" textlink="">
        <xdr:nvSpPr>
          <xdr:cNvPr id="6" name="Oval 5">
            <a:extLst>
              <a:ext uri="{FF2B5EF4-FFF2-40B4-BE49-F238E27FC236}">
                <a16:creationId xmlns:a16="http://schemas.microsoft.com/office/drawing/2014/main" id="{31B7605C-9F59-5BB8-AA7D-63FDE1CE1C25}"/>
              </a:ext>
            </a:extLst>
          </xdr:cNvPr>
          <xdr:cNvSpPr/>
        </xdr:nvSpPr>
        <xdr:spPr>
          <a:xfrm>
            <a:off x="10810932" y="1239930"/>
            <a:ext cx="753980" cy="718432"/>
          </a:xfrm>
          <a:prstGeom prst="ellipse">
            <a:avLst/>
          </a:prstGeom>
          <a:solidFill>
            <a:srgbClr val="C0000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lIns="0" r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263" rtl="0" eaLnBrk="1" fontAlgn="auto" latinLnBrk="0" hangingPunct="1">
              <a:lnSpc>
                <a:spcPct val="100000"/>
              </a:lnSpc>
              <a:spcBef>
                <a:spcPts val="0"/>
              </a:spcBef>
              <a:spcAft>
                <a:spcPts val="0"/>
              </a:spcAft>
              <a:buClrTx/>
              <a:buSzTx/>
              <a:buFontTx/>
              <a:buNone/>
              <a:tabLst/>
              <a:defRPr/>
            </a:pPr>
            <a:r>
              <a:rPr kumimoji="0" lang="en-US" sz="1500" b="1" i="0" u="none" strike="noStrike" kern="1200" cap="none" spc="0" normalizeH="0" baseline="0">
                <a:ln>
                  <a:noFill/>
                </a:ln>
                <a:solidFill>
                  <a:schemeClr val="bg1"/>
                </a:solidFill>
                <a:effectLst/>
                <a:uLnTx/>
                <a:uFillTx/>
                <a:latin typeface="Century Gothic" panose="020B0502020202020204" pitchFamily="34" charset="0"/>
                <a:ea typeface="+mn-ea"/>
                <a:cs typeface="+mn-cs"/>
              </a:rPr>
              <a:t>75%</a:t>
            </a:r>
          </a:p>
        </xdr:txBody>
      </xdr:sp>
      <xdr:sp macro="" textlink="">
        <xdr:nvSpPr>
          <xdr:cNvPr id="7" name="Arc 6">
            <a:extLst>
              <a:ext uri="{FF2B5EF4-FFF2-40B4-BE49-F238E27FC236}">
                <a16:creationId xmlns:a16="http://schemas.microsoft.com/office/drawing/2014/main" id="{12BE0A40-BEE8-CC12-2387-54F6A00CAD57}"/>
              </a:ext>
            </a:extLst>
          </xdr:cNvPr>
          <xdr:cNvSpPr/>
        </xdr:nvSpPr>
        <xdr:spPr>
          <a:xfrm>
            <a:off x="10805804" y="1219591"/>
            <a:ext cx="759110" cy="759107"/>
          </a:xfrm>
          <a:prstGeom prst="arc">
            <a:avLst>
              <a:gd name="adj1" fmla="val 13979269"/>
              <a:gd name="adj2" fmla="val 11116453"/>
            </a:avLst>
          </a:prstGeom>
          <a:noFill/>
          <a:ln w="63500">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263" rtl="0" eaLnBrk="1" fontAlgn="auto" latinLnBrk="0" hangingPunct="1">
              <a:lnSpc>
                <a:spcPct val="100000"/>
              </a:lnSpc>
              <a:spcBef>
                <a:spcPts val="0"/>
              </a:spcBef>
              <a:spcAft>
                <a:spcPts val="0"/>
              </a:spcAft>
              <a:buClrTx/>
              <a:buSzTx/>
              <a:buFontTx/>
              <a:buNone/>
              <a:tabLst/>
              <a:defRPr/>
            </a:pPr>
            <a:endParaRPr kumimoji="0" lang="en-US" sz="1800" b="0" i="0" u="none" strike="noStrike" kern="1200" cap="none" spc="0" normalizeH="0" baseline="0">
              <a:ln>
                <a:noFill/>
              </a:ln>
              <a:solidFill>
                <a:prstClr val="white"/>
              </a:solidFill>
              <a:effectLst/>
              <a:uLnTx/>
              <a:uFillTx/>
              <a:latin typeface="Calibri" panose="020F0502020204030204"/>
              <a:ea typeface="+mn-ea"/>
              <a:cs typeface="+mn-cs"/>
            </a:endParaRPr>
          </a:p>
        </xdr:txBody>
      </xdr:sp>
    </xdr:grpSp>
    <xdr:clientData/>
  </xdr:twoCellAnchor>
  <xdr:twoCellAnchor editAs="oneCell">
    <xdr:from>
      <xdr:col>0</xdr:col>
      <xdr:colOff>252212</xdr:colOff>
      <xdr:row>0</xdr:row>
      <xdr:rowOff>63311</xdr:rowOff>
    </xdr:from>
    <xdr:to>
      <xdr:col>0</xdr:col>
      <xdr:colOff>1622247</xdr:colOff>
      <xdr:row>1</xdr:row>
      <xdr:rowOff>212561</xdr:rowOff>
    </xdr:to>
    <xdr:pic>
      <xdr:nvPicPr>
        <xdr:cNvPr id="9" name="Picture 8" descr="Blue letters on a black background&#10;&#10;AI-generated content may be incorrect.">
          <a:extLst>
            <a:ext uri="{FF2B5EF4-FFF2-40B4-BE49-F238E27FC236}">
              <a16:creationId xmlns:a16="http://schemas.microsoft.com/office/drawing/2014/main" id="{4255C784-8414-C3EC-377C-70783A6C198C}"/>
            </a:ext>
          </a:extLst>
        </xdr:cNvPr>
        <xdr:cNvPicPr>
          <a:picLocks noChangeAspect="1"/>
        </xdr:cNvPicPr>
      </xdr:nvPicPr>
      <xdr:blipFill>
        <a:blip xmlns:r="http://schemas.openxmlformats.org/officeDocument/2006/relationships" r:embed="rId1"/>
        <a:stretch>
          <a:fillRect/>
        </a:stretch>
      </xdr:blipFill>
      <xdr:spPr>
        <a:xfrm>
          <a:off x="252212" y="63311"/>
          <a:ext cx="1381465" cy="3882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gojira.am.tsacorp.com/browse/H24-711312" TargetMode="External"/><Relationship Id="rId2" Type="http://schemas.openxmlformats.org/officeDocument/2006/relationships/hyperlink" Target="https://gojira.am.tsacorp.com/browse/H24-711312" TargetMode="External"/><Relationship Id="rId1" Type="http://schemas.openxmlformats.org/officeDocument/2006/relationships/hyperlink" Target="https://gojira.am.tsacorp.com/browse/H24-711312" TargetMode="External"/><Relationship Id="rId6" Type="http://schemas.openxmlformats.org/officeDocument/2006/relationships/hyperlink" Target="https://gojira.am.tsacorp.com/browse/H24-723416" TargetMode="External"/><Relationship Id="rId5" Type="http://schemas.openxmlformats.org/officeDocument/2006/relationships/hyperlink" Target="https://gojira.am.tsacorp.com/browse/H24-709214" TargetMode="External"/><Relationship Id="rId4" Type="http://schemas.openxmlformats.org/officeDocument/2006/relationships/hyperlink" Target="https://gojira.am.tsacorp.com/browse/H24-71952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1145E-FCCF-443F-B6E6-3E4C3AF52149}">
  <dimension ref="A1:J33"/>
  <sheetViews>
    <sheetView topLeftCell="A28" zoomScale="81" zoomScaleNormal="90" workbookViewId="0">
      <selection activeCell="C36" sqref="C36"/>
    </sheetView>
  </sheetViews>
  <sheetFormatPr defaultRowHeight="15" x14ac:dyDescent="0.25"/>
  <cols>
    <col min="1" max="1" width="38" customWidth="1"/>
    <col min="2" max="2" width="23" style="5" customWidth="1"/>
    <col min="3" max="3" width="22.42578125" customWidth="1"/>
    <col min="4" max="4" width="21.140625" customWidth="1"/>
    <col min="5" max="5" width="21.7109375" customWidth="1"/>
    <col min="6" max="6" width="22.5703125" customWidth="1"/>
    <col min="7" max="7" width="18.140625" customWidth="1"/>
    <col min="8" max="8" width="16.85546875" customWidth="1"/>
    <col min="9" max="9" width="22.42578125" customWidth="1"/>
    <col min="10" max="10" width="20.5703125" customWidth="1"/>
  </cols>
  <sheetData>
    <row r="1" spans="1:10" ht="18.75" x14ac:dyDescent="0.3">
      <c r="B1" s="1" t="s">
        <v>0</v>
      </c>
    </row>
    <row r="2" spans="1:10" ht="19.5" thickBot="1" x14ac:dyDescent="0.35">
      <c r="B2" s="1"/>
    </row>
    <row r="3" spans="1:10" ht="15.75" thickBot="1" x14ac:dyDescent="0.3">
      <c r="A3" s="2" t="s">
        <v>1</v>
      </c>
      <c r="B3" s="3">
        <v>46052</v>
      </c>
    </row>
    <row r="4" spans="1:10" x14ac:dyDescent="0.25">
      <c r="A4" s="2"/>
      <c r="B4"/>
    </row>
    <row r="5" spans="1:10" x14ac:dyDescent="0.25">
      <c r="A5" s="4"/>
    </row>
    <row r="6" spans="1:10" ht="15.75" thickBot="1" x14ac:dyDescent="0.3"/>
    <row r="7" spans="1:10" ht="14.45" customHeight="1" thickBot="1" x14ac:dyDescent="0.3">
      <c r="B7" s="6" t="s">
        <v>2</v>
      </c>
      <c r="C7" s="7" t="s">
        <v>3</v>
      </c>
      <c r="D7" s="8" t="s">
        <v>4</v>
      </c>
      <c r="E7" s="9" t="s">
        <v>5</v>
      </c>
      <c r="F7" s="10" t="s">
        <v>6</v>
      </c>
    </row>
    <row r="8" spans="1:10" ht="14.45" customHeight="1" x14ac:dyDescent="0.25"/>
    <row r="10" spans="1:10" ht="15.6" customHeight="1" thickBot="1" x14ac:dyDescent="0.3">
      <c r="A10" s="11" t="s">
        <v>20</v>
      </c>
      <c r="B10" s="12" t="s">
        <v>31</v>
      </c>
      <c r="C10" s="12" t="s">
        <v>32</v>
      </c>
      <c r="D10" s="12" t="s">
        <v>17</v>
      </c>
      <c r="E10" s="12" t="s">
        <v>18</v>
      </c>
      <c r="F10" s="12" t="s">
        <v>7</v>
      </c>
      <c r="G10" s="12" t="s">
        <v>19</v>
      </c>
      <c r="H10" s="12" t="s">
        <v>8</v>
      </c>
      <c r="I10" s="12" t="s">
        <v>9</v>
      </c>
      <c r="J10" s="12" t="s">
        <v>10</v>
      </c>
    </row>
    <row r="11" spans="1:10" ht="15.75" thickBot="1" x14ac:dyDescent="0.3">
      <c r="A11" s="166" t="s">
        <v>120</v>
      </c>
      <c r="B11" s="170">
        <v>46351</v>
      </c>
      <c r="C11" s="176"/>
      <c r="D11" s="177"/>
      <c r="E11" s="180" t="s">
        <v>109</v>
      </c>
      <c r="F11" s="13"/>
      <c r="G11" s="13"/>
      <c r="H11" s="13"/>
      <c r="I11" s="13"/>
      <c r="J11" s="13"/>
    </row>
    <row r="12" spans="1:10" ht="15.75" thickBot="1" x14ac:dyDescent="0.3">
      <c r="A12" s="167" t="s">
        <v>123</v>
      </c>
      <c r="B12" s="171">
        <v>46381</v>
      </c>
      <c r="C12" s="178" t="s">
        <v>128</v>
      </c>
      <c r="D12" s="179" t="s">
        <v>126</v>
      </c>
      <c r="E12" s="181" t="s">
        <v>131</v>
      </c>
      <c r="F12" s="14"/>
      <c r="H12" s="14"/>
      <c r="I12" s="14"/>
      <c r="J12" s="14"/>
    </row>
    <row r="13" spans="1:10" ht="15.75" thickBot="1" x14ac:dyDescent="0.3">
      <c r="A13" s="168" t="s">
        <v>124</v>
      </c>
      <c r="B13" s="172" t="s">
        <v>126</v>
      </c>
      <c r="C13" s="178" t="s">
        <v>128</v>
      </c>
      <c r="D13" s="179" t="s">
        <v>126</v>
      </c>
      <c r="E13" s="180" t="s">
        <v>131</v>
      </c>
      <c r="F13" s="15"/>
      <c r="G13" s="14"/>
      <c r="H13" s="15"/>
      <c r="I13" s="15"/>
      <c r="J13" s="15"/>
    </row>
    <row r="14" spans="1:10" ht="15.75" thickBot="1" x14ac:dyDescent="0.3">
      <c r="A14" s="169" t="s">
        <v>125</v>
      </c>
      <c r="B14" s="173">
        <v>46107</v>
      </c>
      <c r="C14" s="178" t="s">
        <v>129</v>
      </c>
      <c r="D14" s="179" t="s">
        <v>130</v>
      </c>
      <c r="E14" s="180" t="s">
        <v>131</v>
      </c>
      <c r="F14" s="15"/>
      <c r="G14" s="14"/>
      <c r="H14" s="14"/>
      <c r="I14" s="14"/>
      <c r="J14" s="14"/>
    </row>
    <row r="15" spans="1:10" ht="24" customHeight="1" thickBot="1" x14ac:dyDescent="0.3">
      <c r="A15" s="168" t="s">
        <v>121</v>
      </c>
      <c r="B15" s="172" t="s">
        <v>127</v>
      </c>
      <c r="C15" s="15"/>
      <c r="D15" s="15"/>
      <c r="E15" s="180" t="s">
        <v>131</v>
      </c>
      <c r="F15" s="17"/>
      <c r="G15" s="17"/>
      <c r="H15" s="17"/>
      <c r="I15" s="17"/>
      <c r="J15" s="17"/>
    </row>
    <row r="16" spans="1:10" ht="27.75" thickBot="1" x14ac:dyDescent="0.3">
      <c r="A16" s="169" t="s">
        <v>122</v>
      </c>
      <c r="B16" s="175" t="s">
        <v>127</v>
      </c>
      <c r="C16" s="17"/>
      <c r="D16" s="17"/>
      <c r="E16" s="222" t="s">
        <v>131</v>
      </c>
      <c r="F16" s="18"/>
      <c r="G16" s="18"/>
      <c r="H16" s="18"/>
      <c r="I16" s="18"/>
      <c r="J16" s="18"/>
    </row>
    <row r="17" spans="1:10" x14ac:dyDescent="0.25">
      <c r="A17" s="16"/>
      <c r="B17" s="174" t="s">
        <v>45</v>
      </c>
      <c r="C17" s="35"/>
      <c r="D17" s="35"/>
      <c r="E17" s="35"/>
      <c r="F17" s="35"/>
      <c r="G17" s="35"/>
      <c r="H17" s="35"/>
      <c r="I17" s="35"/>
    </row>
    <row r="18" spans="1:10" x14ac:dyDescent="0.25">
      <c r="A18" s="16"/>
      <c r="B18" s="35"/>
      <c r="C18" s="35"/>
      <c r="D18" s="35"/>
      <c r="E18" s="35"/>
      <c r="F18" s="35"/>
      <c r="G18" s="35"/>
      <c r="H18" s="35"/>
      <c r="I18" s="35"/>
    </row>
    <row r="19" spans="1:10" s="4" customFormat="1" x14ac:dyDescent="0.25">
      <c r="B19" s="12"/>
    </row>
    <row r="20" spans="1:10" x14ac:dyDescent="0.25">
      <c r="A20" s="19" t="s">
        <v>11</v>
      </c>
      <c r="B20"/>
    </row>
    <row r="21" spans="1:10" ht="255" customHeight="1" x14ac:dyDescent="0.25">
      <c r="A21" s="231" t="s">
        <v>262</v>
      </c>
      <c r="B21" s="232"/>
      <c r="C21" s="232"/>
      <c r="D21" s="232"/>
      <c r="E21" s="232"/>
      <c r="F21" s="232"/>
      <c r="G21" s="232"/>
      <c r="H21" s="232"/>
      <c r="I21" s="232"/>
      <c r="J21" s="232"/>
    </row>
    <row r="22" spans="1:10" ht="31.5" customHeight="1" x14ac:dyDescent="0.25">
      <c r="A22" s="234" t="s">
        <v>12</v>
      </c>
      <c r="B22" s="235"/>
      <c r="C22" s="235"/>
      <c r="D22" s="235"/>
      <c r="E22" s="235"/>
      <c r="F22" s="235"/>
      <c r="G22" s="235"/>
      <c r="H22" s="235"/>
    </row>
    <row r="23" spans="1:10" ht="30.6" customHeight="1" x14ac:dyDescent="0.25">
      <c r="A23" s="238" t="s">
        <v>13</v>
      </c>
      <c r="B23" s="239"/>
      <c r="C23" s="239"/>
      <c r="D23" s="239"/>
      <c r="E23" s="239"/>
      <c r="F23" s="239"/>
      <c r="G23" s="239"/>
      <c r="H23" s="239"/>
    </row>
    <row r="24" spans="1:10" x14ac:dyDescent="0.25">
      <c r="A24" s="238" t="s">
        <v>14</v>
      </c>
      <c r="B24" s="239"/>
      <c r="C24" s="239"/>
      <c r="D24" s="239"/>
      <c r="E24" s="239"/>
      <c r="F24" s="239"/>
      <c r="G24" s="239"/>
      <c r="H24" s="239"/>
    </row>
    <row r="25" spans="1:10" x14ac:dyDescent="0.25">
      <c r="A25" s="240"/>
      <c r="B25" s="241"/>
      <c r="C25" s="241"/>
      <c r="D25" s="241"/>
      <c r="E25" s="241"/>
      <c r="F25" s="241"/>
      <c r="G25" s="241"/>
      <c r="H25" s="241"/>
    </row>
    <row r="26" spans="1:10" x14ac:dyDescent="0.25">
      <c r="B26"/>
    </row>
    <row r="27" spans="1:10" x14ac:dyDescent="0.25">
      <c r="A27" s="233" t="s">
        <v>15</v>
      </c>
      <c r="B27" s="233"/>
      <c r="C27" s="233"/>
      <c r="D27" s="233"/>
      <c r="E27" s="233"/>
      <c r="F27" s="233"/>
      <c r="G27" s="233"/>
      <c r="H27" s="233"/>
    </row>
    <row r="28" spans="1:10" ht="294" customHeight="1" x14ac:dyDescent="0.25">
      <c r="A28" s="242" t="s">
        <v>275</v>
      </c>
      <c r="B28" s="243"/>
      <c r="C28" s="243"/>
      <c r="D28" s="243"/>
      <c r="E28" s="243"/>
      <c r="F28" s="243"/>
      <c r="G28" s="243"/>
      <c r="H28" s="243"/>
    </row>
    <row r="29" spans="1:10" x14ac:dyDescent="0.25">
      <c r="A29" s="20"/>
      <c r="B29" s="21"/>
      <c r="C29" s="21"/>
      <c r="D29" s="21"/>
      <c r="E29" s="21"/>
      <c r="F29" s="21"/>
      <c r="G29" s="21"/>
      <c r="H29" s="21"/>
    </row>
    <row r="30" spans="1:10" x14ac:dyDescent="0.25">
      <c r="A30" s="21"/>
      <c r="B30" s="21"/>
      <c r="C30" s="21"/>
      <c r="D30" s="21"/>
      <c r="E30" s="21"/>
      <c r="F30" s="21"/>
      <c r="G30" s="21"/>
      <c r="H30" s="21"/>
    </row>
    <row r="31" spans="1:10" x14ac:dyDescent="0.25">
      <c r="A31" s="233" t="s">
        <v>16</v>
      </c>
      <c r="B31" s="233"/>
      <c r="C31" s="233"/>
      <c r="D31" s="233"/>
      <c r="E31" s="233"/>
      <c r="F31" s="233"/>
      <c r="G31" s="233"/>
      <c r="H31" s="233"/>
    </row>
    <row r="32" spans="1:10" ht="64.5" customHeight="1" x14ac:dyDescent="0.25">
      <c r="A32" s="234" t="s">
        <v>229</v>
      </c>
      <c r="B32" s="235"/>
      <c r="C32" s="235"/>
      <c r="D32" s="235"/>
      <c r="E32" s="235"/>
      <c r="F32" s="235"/>
      <c r="G32" s="235"/>
      <c r="H32" s="235"/>
    </row>
    <row r="33" spans="1:8" x14ac:dyDescent="0.25">
      <c r="A33" s="236"/>
      <c r="B33" s="237"/>
      <c r="C33" s="237"/>
      <c r="D33" s="237"/>
      <c r="E33" s="237"/>
      <c r="F33" s="237"/>
      <c r="G33" s="237"/>
      <c r="H33" s="237"/>
    </row>
  </sheetData>
  <mergeCells count="10">
    <mergeCell ref="A21:J21"/>
    <mergeCell ref="A31:H31"/>
    <mergeCell ref="A32:H32"/>
    <mergeCell ref="A33:H33"/>
    <mergeCell ref="A22:H22"/>
    <mergeCell ref="A23:H23"/>
    <mergeCell ref="A24:H24"/>
    <mergeCell ref="A25:H25"/>
    <mergeCell ref="A27:H27"/>
    <mergeCell ref="A28:H28"/>
  </mergeCells>
  <pageMargins left="0.25" right="0.25" top="0.5" bottom="0.25" header="0.5" footer="0.5"/>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D059D-27C3-466E-A893-26605B3D3012}">
  <dimension ref="A1:P5"/>
  <sheetViews>
    <sheetView topLeftCell="A3" workbookViewId="0">
      <selection activeCell="A4" sqref="A4:F4"/>
    </sheetView>
  </sheetViews>
  <sheetFormatPr defaultColWidth="8.7109375" defaultRowHeight="12.75" x14ac:dyDescent="0.2"/>
  <cols>
    <col min="1" max="5" width="8.7109375" style="23"/>
    <col min="6" max="6" width="211.5703125" style="23" customWidth="1"/>
    <col min="7" max="16384" width="8.7109375" style="23"/>
  </cols>
  <sheetData>
    <row r="1" spans="1:16" ht="36.6" customHeight="1" thickBot="1" x14ac:dyDescent="0.25">
      <c r="A1" s="250" t="s">
        <v>265</v>
      </c>
      <c r="B1" s="251"/>
      <c r="C1" s="251"/>
      <c r="D1" s="251"/>
      <c r="E1" s="251"/>
      <c r="F1" s="252"/>
      <c r="G1" s="22"/>
      <c r="H1" s="22"/>
      <c r="I1" s="22"/>
      <c r="J1" s="22"/>
      <c r="K1" s="22"/>
      <c r="L1" s="22"/>
      <c r="M1" s="22"/>
      <c r="N1" s="22"/>
      <c r="O1" s="22"/>
      <c r="P1" s="22"/>
    </row>
    <row r="2" spans="1:16" s="26" customFormat="1" ht="15.4" customHeight="1" x14ac:dyDescent="0.25">
      <c r="A2" s="24"/>
      <c r="B2" s="244" t="s">
        <v>228</v>
      </c>
      <c r="C2" s="245"/>
      <c r="D2" s="245"/>
      <c r="E2" s="245"/>
      <c r="F2" s="246"/>
      <c r="G2" s="25"/>
      <c r="H2" s="25"/>
      <c r="I2" s="25"/>
      <c r="J2" s="25"/>
      <c r="K2" s="25"/>
      <c r="L2" s="25"/>
      <c r="M2" s="25"/>
      <c r="N2" s="25"/>
      <c r="O2" s="25"/>
      <c r="P2" s="25"/>
    </row>
    <row r="3" spans="1:16" s="29" customFormat="1" ht="409.5" customHeight="1" thickBot="1" x14ac:dyDescent="0.3">
      <c r="A3" s="27"/>
      <c r="B3" s="247" t="s">
        <v>266</v>
      </c>
      <c r="C3" s="248"/>
      <c r="D3" s="248"/>
      <c r="E3" s="248"/>
      <c r="F3" s="249"/>
      <c r="G3" s="28"/>
      <c r="H3" s="28"/>
      <c r="I3" s="28"/>
      <c r="J3" s="28"/>
      <c r="K3" s="28"/>
      <c r="L3" s="28"/>
      <c r="M3" s="28"/>
      <c r="N3" s="28"/>
      <c r="O3" s="28"/>
      <c r="P3" s="28"/>
    </row>
    <row r="4" spans="1:16" ht="36.6" customHeight="1" thickBot="1" x14ac:dyDescent="0.25">
      <c r="A4" s="250" t="s">
        <v>263</v>
      </c>
      <c r="B4" s="251"/>
      <c r="C4" s="251"/>
      <c r="D4" s="251"/>
      <c r="E4" s="251"/>
      <c r="F4" s="252"/>
      <c r="G4" s="22"/>
      <c r="H4" s="22"/>
      <c r="I4" s="22"/>
      <c r="J4" s="22"/>
      <c r="K4" s="22"/>
      <c r="L4" s="22"/>
      <c r="M4" s="22"/>
      <c r="N4" s="22"/>
      <c r="O4" s="22"/>
      <c r="P4" s="22"/>
    </row>
    <row r="5" spans="1:16" s="29" customFormat="1" ht="409.5" customHeight="1" x14ac:dyDescent="0.25">
      <c r="A5" s="27"/>
      <c r="B5" s="247" t="s">
        <v>264</v>
      </c>
      <c r="C5" s="248"/>
      <c r="D5" s="248"/>
      <c r="E5" s="248"/>
      <c r="F5" s="249"/>
      <c r="G5" s="28"/>
      <c r="H5" s="28"/>
      <c r="I5" s="28"/>
      <c r="J5" s="28"/>
      <c r="K5" s="28"/>
      <c r="L5" s="28"/>
      <c r="M5" s="28"/>
      <c r="N5" s="28"/>
      <c r="O5" s="28"/>
      <c r="P5" s="28"/>
    </row>
  </sheetData>
  <mergeCells count="5">
    <mergeCell ref="A1:F1"/>
    <mergeCell ref="B2:F2"/>
    <mergeCell ref="B3:F3"/>
    <mergeCell ref="A4:F4"/>
    <mergeCell ref="B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FE6A-3D9C-4B13-BE8F-EE3FF083B509}">
  <dimension ref="A2:L35"/>
  <sheetViews>
    <sheetView tabSelected="1" zoomScaleNormal="100" workbookViewId="0">
      <selection activeCell="E11" sqref="E11"/>
    </sheetView>
  </sheetViews>
  <sheetFormatPr defaultColWidth="8.7109375" defaultRowHeight="12.75" x14ac:dyDescent="0.2"/>
  <cols>
    <col min="1" max="1" width="4.42578125" style="23" customWidth="1"/>
    <col min="2" max="2" width="15.140625" style="206" customWidth="1"/>
    <col min="3" max="3" width="29" style="206" customWidth="1"/>
    <col min="4" max="4" width="15.5703125" style="207" customWidth="1"/>
    <col min="5" max="5" width="18.28515625" style="207" customWidth="1"/>
    <col min="6" max="6" width="64.5703125" style="207" customWidth="1"/>
    <col min="7" max="7" width="10.5703125" style="207" customWidth="1"/>
    <col min="8" max="8" width="17" style="208" customWidth="1"/>
    <col min="9" max="9" width="11" style="207" customWidth="1"/>
    <col min="10" max="10" width="45.85546875" style="207" customWidth="1"/>
    <col min="11" max="11" width="27.28515625" style="207" customWidth="1"/>
    <col min="12" max="16384" width="8.7109375" style="23"/>
  </cols>
  <sheetData>
    <row r="2" spans="1:12" ht="21" customHeight="1" x14ac:dyDescent="0.2">
      <c r="B2" s="253" t="s">
        <v>276</v>
      </c>
      <c r="C2" s="253"/>
      <c r="D2" s="253"/>
      <c r="E2" s="253"/>
      <c r="F2" s="253"/>
      <c r="G2" s="253"/>
      <c r="H2" s="253"/>
      <c r="I2" s="253"/>
      <c r="J2" s="253"/>
      <c r="K2" s="253"/>
    </row>
    <row r="3" spans="1:12" ht="28.5" customHeight="1" x14ac:dyDescent="0.2">
      <c r="A3" s="34"/>
      <c r="B3" s="183" t="s">
        <v>21</v>
      </c>
      <c r="C3" s="183" t="s">
        <v>142</v>
      </c>
      <c r="D3" s="184" t="s">
        <v>22</v>
      </c>
      <c r="E3" s="185" t="s">
        <v>23</v>
      </c>
      <c r="F3" s="184" t="s">
        <v>24</v>
      </c>
      <c r="G3" s="184" t="s">
        <v>25</v>
      </c>
      <c r="H3" s="186" t="s">
        <v>26</v>
      </c>
      <c r="I3" s="184" t="s">
        <v>27</v>
      </c>
      <c r="J3" s="184" t="s">
        <v>28</v>
      </c>
      <c r="K3" s="187" t="s">
        <v>29</v>
      </c>
    </row>
    <row r="4" spans="1:12" ht="37.5" customHeight="1" x14ac:dyDescent="0.2">
      <c r="A4" s="30" t="s">
        <v>235</v>
      </c>
      <c r="B4" s="212" t="s">
        <v>133</v>
      </c>
      <c r="C4" s="212" t="s">
        <v>143</v>
      </c>
      <c r="D4" s="213" t="s">
        <v>134</v>
      </c>
      <c r="E4" s="214" t="s">
        <v>135</v>
      </c>
      <c r="F4" s="215" t="s">
        <v>136</v>
      </c>
      <c r="G4" s="210" t="s">
        <v>137</v>
      </c>
      <c r="H4" s="216" t="s">
        <v>138</v>
      </c>
      <c r="I4" s="217">
        <v>46063</v>
      </c>
      <c r="J4" s="194" t="s">
        <v>277</v>
      </c>
      <c r="K4" s="190" t="s">
        <v>154</v>
      </c>
    </row>
    <row r="5" spans="1:12" ht="51" customHeight="1" x14ac:dyDescent="0.2">
      <c r="A5" s="30" t="s">
        <v>235</v>
      </c>
      <c r="B5" s="212" t="s">
        <v>133</v>
      </c>
      <c r="C5" s="212" t="s">
        <v>143</v>
      </c>
      <c r="D5" s="213" t="s">
        <v>134</v>
      </c>
      <c r="E5" s="214" t="s">
        <v>140</v>
      </c>
      <c r="F5" s="215" t="s">
        <v>139</v>
      </c>
      <c r="G5" s="210" t="s">
        <v>137</v>
      </c>
      <c r="H5" s="216" t="s">
        <v>230</v>
      </c>
      <c r="I5" s="217">
        <v>46063</v>
      </c>
      <c r="J5" s="194" t="s">
        <v>278</v>
      </c>
      <c r="K5" s="190" t="s">
        <v>153</v>
      </c>
    </row>
    <row r="6" spans="1:12" ht="30" customHeight="1" x14ac:dyDescent="0.2">
      <c r="A6" s="30" t="s">
        <v>235</v>
      </c>
      <c r="B6" s="223" t="s">
        <v>133</v>
      </c>
      <c r="C6" s="223" t="s">
        <v>143</v>
      </c>
      <c r="D6" s="224" t="s">
        <v>134</v>
      </c>
      <c r="E6" s="225" t="s">
        <v>141</v>
      </c>
      <c r="F6" s="226" t="s">
        <v>144</v>
      </c>
      <c r="G6" s="227" t="s">
        <v>137</v>
      </c>
      <c r="H6" s="226" t="s">
        <v>145</v>
      </c>
      <c r="I6" s="225"/>
      <c r="J6" s="228" t="s">
        <v>146</v>
      </c>
      <c r="K6" s="211" t="s">
        <v>153</v>
      </c>
    </row>
    <row r="7" spans="1:12" ht="40.5" customHeight="1" x14ac:dyDescent="0.2">
      <c r="A7" s="30" t="s">
        <v>235</v>
      </c>
      <c r="B7" s="212" t="s">
        <v>149</v>
      </c>
      <c r="C7" s="213" t="s">
        <v>150</v>
      </c>
      <c r="D7" s="213" t="s">
        <v>134</v>
      </c>
      <c r="E7" s="213" t="s">
        <v>147</v>
      </c>
      <c r="F7" s="218" t="s">
        <v>148</v>
      </c>
      <c r="G7" s="209" t="s">
        <v>151</v>
      </c>
      <c r="H7" s="215" t="s">
        <v>282</v>
      </c>
      <c r="I7" s="217">
        <v>46063</v>
      </c>
      <c r="J7" s="194" t="s">
        <v>279</v>
      </c>
      <c r="K7" s="190" t="s">
        <v>253</v>
      </c>
    </row>
    <row r="8" spans="1:12" ht="34.5" customHeight="1" x14ac:dyDescent="0.2">
      <c r="A8" s="284" t="s">
        <v>235</v>
      </c>
      <c r="B8" s="285" t="s">
        <v>158</v>
      </c>
      <c r="C8" s="286" t="s">
        <v>223</v>
      </c>
      <c r="D8" s="287" t="s">
        <v>159</v>
      </c>
      <c r="E8" s="287"/>
      <c r="F8" s="287" t="s">
        <v>157</v>
      </c>
      <c r="G8" s="287" t="s">
        <v>155</v>
      </c>
      <c r="H8" s="288" t="s">
        <v>283</v>
      </c>
      <c r="I8" s="287"/>
      <c r="J8" s="289" t="s">
        <v>280</v>
      </c>
      <c r="K8" s="290" t="s">
        <v>132</v>
      </c>
    </row>
    <row r="9" spans="1:12" ht="35.25" customHeight="1" x14ac:dyDescent="0.2">
      <c r="A9" s="31" t="s">
        <v>235</v>
      </c>
      <c r="B9" s="188"/>
      <c r="C9" s="188" t="s">
        <v>224</v>
      </c>
      <c r="D9" s="192"/>
      <c r="E9" s="193"/>
      <c r="F9" s="190"/>
      <c r="G9" s="189"/>
      <c r="H9" s="194"/>
      <c r="I9" s="190"/>
      <c r="J9" s="194" t="s">
        <v>281</v>
      </c>
      <c r="K9" s="189" t="s">
        <v>160</v>
      </c>
    </row>
    <row r="10" spans="1:12" ht="51" customHeight="1" x14ac:dyDescent="0.2">
      <c r="A10" s="30" t="s">
        <v>235</v>
      </c>
      <c r="B10" s="220" t="s">
        <v>161</v>
      </c>
      <c r="C10" s="195" t="s">
        <v>225</v>
      </c>
      <c r="D10" s="196" t="s">
        <v>163</v>
      </c>
      <c r="E10" s="189" t="s">
        <v>300</v>
      </c>
      <c r="F10" s="191" t="s">
        <v>162</v>
      </c>
      <c r="G10" s="219" t="s">
        <v>155</v>
      </c>
      <c r="H10" s="191"/>
      <c r="I10" s="189"/>
      <c r="J10" s="194" t="s">
        <v>291</v>
      </c>
      <c r="K10" s="189" t="s">
        <v>160</v>
      </c>
    </row>
    <row r="11" spans="1:12" ht="30.75" customHeight="1" x14ac:dyDescent="0.2">
      <c r="A11" s="30" t="s">
        <v>235</v>
      </c>
      <c r="B11" s="220" t="s">
        <v>161</v>
      </c>
      <c r="C11" s="195" t="s">
        <v>165</v>
      </c>
      <c r="D11" s="195" t="s">
        <v>163</v>
      </c>
      <c r="E11" s="189" t="s">
        <v>164</v>
      </c>
      <c r="F11" s="189" t="s">
        <v>168</v>
      </c>
      <c r="G11" s="190" t="s">
        <v>169</v>
      </c>
      <c r="H11" s="191" t="s">
        <v>167</v>
      </c>
      <c r="I11" s="199">
        <v>46068</v>
      </c>
      <c r="J11" s="194" t="s">
        <v>287</v>
      </c>
      <c r="K11" s="189" t="s">
        <v>152</v>
      </c>
    </row>
    <row r="12" spans="1:12" ht="42" customHeight="1" x14ac:dyDescent="0.2">
      <c r="A12" s="284" t="s">
        <v>235</v>
      </c>
      <c r="B12" s="316" t="s">
        <v>170</v>
      </c>
      <c r="C12" s="317" t="s">
        <v>226</v>
      </c>
      <c r="D12" s="318" t="s">
        <v>171</v>
      </c>
      <c r="E12" s="290" t="s">
        <v>166</v>
      </c>
      <c r="F12" s="290" t="s">
        <v>172</v>
      </c>
      <c r="G12" s="287" t="s">
        <v>155</v>
      </c>
      <c r="H12" s="289" t="s">
        <v>173</v>
      </c>
      <c r="I12" s="319">
        <v>46111</v>
      </c>
      <c r="J12" s="289" t="s">
        <v>258</v>
      </c>
      <c r="K12" s="290" t="s">
        <v>174</v>
      </c>
      <c r="L12" s="23" t="s">
        <v>201</v>
      </c>
    </row>
    <row r="13" spans="1:12" s="22" customFormat="1" ht="29.25" customHeight="1" x14ac:dyDescent="0.2">
      <c r="A13" s="30" t="s">
        <v>235</v>
      </c>
      <c r="B13" s="182" t="s">
        <v>251</v>
      </c>
      <c r="C13" s="197" t="s">
        <v>226</v>
      </c>
      <c r="D13" s="198" t="s">
        <v>252</v>
      </c>
      <c r="E13" s="188" t="s">
        <v>175</v>
      </c>
      <c r="F13" s="198" t="s">
        <v>176</v>
      </c>
      <c r="G13" s="219" t="s">
        <v>155</v>
      </c>
      <c r="H13" s="191" t="s">
        <v>138</v>
      </c>
      <c r="I13" s="189"/>
      <c r="J13" s="194" t="s">
        <v>288</v>
      </c>
      <c r="K13" s="190" t="s">
        <v>177</v>
      </c>
      <c r="L13" s="23" t="s">
        <v>201</v>
      </c>
    </row>
    <row r="14" spans="1:12" ht="29.25" customHeight="1" x14ac:dyDescent="0.2">
      <c r="A14" s="30" t="s">
        <v>235</v>
      </c>
      <c r="B14" s="182" t="s">
        <v>179</v>
      </c>
      <c r="C14" s="197" t="s">
        <v>226</v>
      </c>
      <c r="D14" s="190" t="s">
        <v>180</v>
      </c>
      <c r="E14" s="190" t="s">
        <v>178</v>
      </c>
      <c r="F14" s="194" t="s">
        <v>181</v>
      </c>
      <c r="G14" s="221" t="s">
        <v>137</v>
      </c>
      <c r="H14" s="194" t="s">
        <v>167</v>
      </c>
      <c r="I14" s="189"/>
      <c r="J14" s="194" t="s">
        <v>289</v>
      </c>
      <c r="K14" s="190" t="s">
        <v>154</v>
      </c>
    </row>
    <row r="15" spans="1:12" ht="36" customHeight="1" x14ac:dyDescent="0.2">
      <c r="A15" s="30" t="s">
        <v>235</v>
      </c>
      <c r="B15" s="182" t="s">
        <v>183</v>
      </c>
      <c r="C15" s="197" t="s">
        <v>226</v>
      </c>
      <c r="D15" s="190" t="s">
        <v>184</v>
      </c>
      <c r="E15" s="190" t="s">
        <v>182</v>
      </c>
      <c r="F15" s="194" t="s">
        <v>185</v>
      </c>
      <c r="G15" s="221" t="s">
        <v>137</v>
      </c>
      <c r="H15" s="194" t="s">
        <v>167</v>
      </c>
      <c r="I15" s="189"/>
      <c r="J15" s="194" t="s">
        <v>290</v>
      </c>
      <c r="K15" s="190" t="s">
        <v>154</v>
      </c>
      <c r="L15" s="22"/>
    </row>
    <row r="16" spans="1:12" ht="54" customHeight="1" x14ac:dyDescent="0.2">
      <c r="A16" s="30"/>
      <c r="B16" s="195"/>
      <c r="C16" s="195"/>
      <c r="D16" s="310" t="s">
        <v>191</v>
      </c>
      <c r="E16" s="189" t="s">
        <v>186</v>
      </c>
      <c r="F16" s="190" t="s">
        <v>187</v>
      </c>
      <c r="G16" s="190"/>
      <c r="H16" s="191" t="s">
        <v>167</v>
      </c>
      <c r="I16" s="189"/>
      <c r="J16" s="194" t="s">
        <v>292</v>
      </c>
      <c r="K16" s="190" t="s">
        <v>160</v>
      </c>
    </row>
    <row r="17" spans="1:12" s="294" customFormat="1" ht="38.25" customHeight="1" x14ac:dyDescent="0.3">
      <c r="A17" s="305"/>
      <c r="B17" s="306" t="s">
        <v>190</v>
      </c>
      <c r="C17" s="307" t="s">
        <v>227</v>
      </c>
      <c r="D17" s="311" t="s">
        <v>191</v>
      </c>
      <c r="E17" s="308" t="s">
        <v>188</v>
      </c>
      <c r="F17" s="308" t="s">
        <v>192</v>
      </c>
      <c r="G17" s="308" t="s">
        <v>151</v>
      </c>
      <c r="H17" s="309" t="s">
        <v>167</v>
      </c>
      <c r="I17" s="308"/>
      <c r="J17" s="296" t="s">
        <v>194</v>
      </c>
      <c r="K17" s="308" t="s">
        <v>195</v>
      </c>
    </row>
    <row r="18" spans="1:12" s="294" customFormat="1" ht="25.5" x14ac:dyDescent="0.3">
      <c r="A18" s="284"/>
      <c r="B18" s="291" t="s">
        <v>190</v>
      </c>
      <c r="C18" s="292" t="s">
        <v>227</v>
      </c>
      <c r="D18" s="295" t="s">
        <v>191</v>
      </c>
      <c r="E18" s="297" t="s">
        <v>189</v>
      </c>
      <c r="F18" s="298" t="s">
        <v>193</v>
      </c>
      <c r="G18" s="290" t="s">
        <v>151</v>
      </c>
      <c r="H18" s="298" t="s">
        <v>167</v>
      </c>
      <c r="I18" s="290"/>
      <c r="J18" s="296" t="s">
        <v>194</v>
      </c>
      <c r="K18" s="290" t="s">
        <v>195</v>
      </c>
    </row>
    <row r="19" spans="1:12" ht="89.25" x14ac:dyDescent="0.2">
      <c r="A19" s="30" t="s">
        <v>235</v>
      </c>
      <c r="B19" s="220" t="s">
        <v>197</v>
      </c>
      <c r="C19" s="195" t="s">
        <v>247</v>
      </c>
      <c r="D19" s="196" t="s">
        <v>198</v>
      </c>
      <c r="E19" s="196" t="s">
        <v>196</v>
      </c>
      <c r="F19" s="191" t="s">
        <v>199</v>
      </c>
      <c r="G19" s="189" t="s">
        <v>137</v>
      </c>
      <c r="H19" s="191" t="s">
        <v>254</v>
      </c>
      <c r="I19" s="189"/>
      <c r="J19" s="194" t="s">
        <v>293</v>
      </c>
      <c r="K19" s="210" t="s">
        <v>200</v>
      </c>
      <c r="L19" s="23" t="s">
        <v>201</v>
      </c>
    </row>
    <row r="20" spans="1:12" ht="27.75" customHeight="1" x14ac:dyDescent="0.2">
      <c r="A20" s="284" t="s">
        <v>235</v>
      </c>
      <c r="B20" s="291" t="s">
        <v>204</v>
      </c>
      <c r="C20" s="292" t="s">
        <v>247</v>
      </c>
      <c r="D20" s="293" t="s">
        <v>206</v>
      </c>
      <c r="E20" s="293" t="s">
        <v>202</v>
      </c>
      <c r="F20" s="289" t="s">
        <v>208</v>
      </c>
      <c r="G20" s="290" t="s">
        <v>137</v>
      </c>
      <c r="H20" s="289" t="s">
        <v>156</v>
      </c>
      <c r="I20" s="290"/>
      <c r="J20" s="289" t="s">
        <v>259</v>
      </c>
      <c r="K20" s="290" t="s">
        <v>195</v>
      </c>
    </row>
    <row r="21" spans="1:12" ht="51" x14ac:dyDescent="0.3">
      <c r="A21" s="284" t="s">
        <v>235</v>
      </c>
      <c r="B21" s="291" t="s">
        <v>205</v>
      </c>
      <c r="C21" s="292" t="s">
        <v>247</v>
      </c>
      <c r="D21" s="293" t="s">
        <v>207</v>
      </c>
      <c r="E21" s="293" t="s">
        <v>203</v>
      </c>
      <c r="F21" s="289" t="s">
        <v>209</v>
      </c>
      <c r="G21" s="290" t="s">
        <v>137</v>
      </c>
      <c r="H21" s="289" t="s">
        <v>167</v>
      </c>
      <c r="I21" s="299"/>
      <c r="J21" s="289" t="s">
        <v>274</v>
      </c>
      <c r="K21" s="296" t="s">
        <v>210</v>
      </c>
      <c r="L21" s="23" t="s">
        <v>154</v>
      </c>
    </row>
    <row r="22" spans="1:12" s="22" customFormat="1" ht="25.5" x14ac:dyDescent="0.2">
      <c r="A22" s="284" t="s">
        <v>235</v>
      </c>
      <c r="B22" s="291" t="s">
        <v>211</v>
      </c>
      <c r="C22" s="292" t="s">
        <v>247</v>
      </c>
      <c r="D22" s="293" t="s">
        <v>212</v>
      </c>
      <c r="E22" s="293"/>
      <c r="F22" s="289" t="s">
        <v>213</v>
      </c>
      <c r="G22" s="294"/>
      <c r="H22" s="289" t="s">
        <v>156</v>
      </c>
      <c r="I22" s="290"/>
      <c r="J22" s="289" t="s">
        <v>214</v>
      </c>
      <c r="K22" s="290" t="s">
        <v>154</v>
      </c>
      <c r="L22" s="23"/>
    </row>
    <row r="23" spans="1:12" ht="51" x14ac:dyDescent="0.2">
      <c r="A23" s="284"/>
      <c r="B23" s="292"/>
      <c r="C23" s="292"/>
      <c r="D23" s="293"/>
      <c r="E23" s="293"/>
      <c r="F23" s="290" t="s">
        <v>215</v>
      </c>
      <c r="G23" s="320"/>
      <c r="H23" s="289"/>
      <c r="I23" s="290"/>
      <c r="J23" s="289" t="s">
        <v>260</v>
      </c>
      <c r="K23" s="290" t="s">
        <v>160</v>
      </c>
    </row>
    <row r="24" spans="1:12" ht="25.5" x14ac:dyDescent="0.2">
      <c r="A24" s="284"/>
      <c r="B24" s="292" t="s">
        <v>216</v>
      </c>
      <c r="C24" s="292"/>
      <c r="D24" s="292" t="s">
        <v>217</v>
      </c>
      <c r="E24" s="290"/>
      <c r="F24" s="290" t="s">
        <v>218</v>
      </c>
      <c r="G24" s="290" t="s">
        <v>151</v>
      </c>
      <c r="H24" s="289" t="s">
        <v>167</v>
      </c>
      <c r="I24" s="290"/>
      <c r="J24" s="289" t="s">
        <v>219</v>
      </c>
      <c r="K24" s="290" t="s">
        <v>220</v>
      </c>
    </row>
    <row r="25" spans="1:12" ht="25.5" x14ac:dyDescent="0.2">
      <c r="A25" s="284"/>
      <c r="B25" s="292"/>
      <c r="C25" s="292"/>
      <c r="D25" s="293"/>
      <c r="E25" s="290"/>
      <c r="F25" s="289" t="s">
        <v>221</v>
      </c>
      <c r="G25" s="290" t="s">
        <v>151</v>
      </c>
      <c r="H25" s="289" t="s">
        <v>156</v>
      </c>
      <c r="I25" s="290"/>
      <c r="J25" s="289" t="s">
        <v>222</v>
      </c>
      <c r="K25" s="290" t="s">
        <v>160</v>
      </c>
    </row>
    <row r="26" spans="1:12" ht="28.5" customHeight="1" x14ac:dyDescent="0.2">
      <c r="A26" s="30" t="s">
        <v>235</v>
      </c>
      <c r="B26" s="220" t="s">
        <v>231</v>
      </c>
      <c r="C26" s="195" t="s">
        <v>248</v>
      </c>
      <c r="D26" s="189" t="s">
        <v>232</v>
      </c>
      <c r="E26" s="189"/>
      <c r="F26" s="191" t="s">
        <v>233</v>
      </c>
      <c r="G26" s="190" t="s">
        <v>151</v>
      </c>
      <c r="H26" s="191" t="s">
        <v>167</v>
      </c>
      <c r="I26" s="189"/>
      <c r="J26" s="229" t="s">
        <v>294</v>
      </c>
      <c r="K26" s="200" t="s">
        <v>234</v>
      </c>
    </row>
    <row r="27" spans="1:12" ht="15" x14ac:dyDescent="0.2">
      <c r="A27" s="300" t="s">
        <v>45</v>
      </c>
      <c r="B27" s="301" t="s">
        <v>238</v>
      </c>
      <c r="C27" s="302"/>
      <c r="D27" s="303" t="s">
        <v>236</v>
      </c>
      <c r="E27" s="297"/>
      <c r="F27" s="289" t="s">
        <v>237</v>
      </c>
      <c r="G27" s="290" t="s">
        <v>151</v>
      </c>
      <c r="H27" s="289" t="s">
        <v>167</v>
      </c>
      <c r="I27" s="290"/>
      <c r="J27" s="298"/>
      <c r="K27" s="304"/>
      <c r="L27" s="22"/>
    </row>
    <row r="28" spans="1:12" s="207" customFormat="1" ht="25.5" customHeight="1" x14ac:dyDescent="0.2">
      <c r="A28" s="32" t="s">
        <v>235</v>
      </c>
      <c r="B28" s="230" t="s">
        <v>241</v>
      </c>
      <c r="C28" s="195" t="s">
        <v>248</v>
      </c>
      <c r="D28" s="202" t="s">
        <v>242</v>
      </c>
      <c r="E28" s="201"/>
      <c r="F28" s="202" t="s">
        <v>240</v>
      </c>
      <c r="G28" s="190" t="s">
        <v>151</v>
      </c>
      <c r="H28" s="191" t="s">
        <v>167</v>
      </c>
      <c r="I28" s="189"/>
      <c r="J28" s="194" t="s">
        <v>296</v>
      </c>
      <c r="K28" s="190" t="s">
        <v>160</v>
      </c>
    </row>
    <row r="29" spans="1:12" ht="38.25" x14ac:dyDescent="0.2">
      <c r="A29" s="190" t="s">
        <v>235</v>
      </c>
      <c r="B29" s="230" t="s">
        <v>243</v>
      </c>
      <c r="C29" s="195" t="s">
        <v>248</v>
      </c>
      <c r="D29" s="194" t="s">
        <v>244</v>
      </c>
      <c r="E29" s="190"/>
      <c r="F29" s="194" t="s">
        <v>295</v>
      </c>
      <c r="G29" s="190" t="s">
        <v>151</v>
      </c>
      <c r="H29" s="191" t="s">
        <v>167</v>
      </c>
      <c r="I29" s="190"/>
      <c r="J29" s="194" t="s">
        <v>297</v>
      </c>
      <c r="K29" s="190" t="s">
        <v>160</v>
      </c>
    </row>
    <row r="30" spans="1:12" ht="51" x14ac:dyDescent="0.2">
      <c r="A30" s="30" t="s">
        <v>235</v>
      </c>
      <c r="B30" s="182" t="s">
        <v>245</v>
      </c>
      <c r="C30" s="188" t="s">
        <v>249</v>
      </c>
      <c r="D30" s="190" t="s">
        <v>239</v>
      </c>
      <c r="E30" s="190"/>
      <c r="F30" s="194" t="s">
        <v>246</v>
      </c>
      <c r="G30" s="190" t="s">
        <v>151</v>
      </c>
      <c r="H30" s="191" t="s">
        <v>167</v>
      </c>
      <c r="I30" s="189"/>
      <c r="J30" s="191" t="s">
        <v>298</v>
      </c>
      <c r="K30" s="189" t="s">
        <v>195</v>
      </c>
    </row>
    <row r="31" spans="1:12" x14ac:dyDescent="0.2">
      <c r="A31" s="33"/>
      <c r="B31" s="203"/>
      <c r="C31" s="203"/>
      <c r="D31" s="204"/>
      <c r="E31" s="204"/>
      <c r="F31" s="204"/>
      <c r="G31" s="204"/>
      <c r="H31" s="205"/>
      <c r="I31" s="204"/>
      <c r="J31" s="205"/>
      <c r="K31" s="204"/>
    </row>
    <row r="32" spans="1:12" ht="3.75" customHeight="1" x14ac:dyDescent="0.2">
      <c r="A32" s="33"/>
      <c r="B32" s="203"/>
      <c r="C32" s="203"/>
      <c r="D32" s="204"/>
      <c r="E32" s="204"/>
      <c r="F32" s="204"/>
      <c r="G32" s="204"/>
      <c r="H32" s="205"/>
      <c r="I32" s="204"/>
      <c r="J32" s="205"/>
      <c r="K32" s="204"/>
    </row>
    <row r="33" spans="1:11" x14ac:dyDescent="0.2">
      <c r="A33" s="23" t="s">
        <v>235</v>
      </c>
      <c r="E33" s="189"/>
      <c r="F33" s="189" t="s">
        <v>250</v>
      </c>
      <c r="G33" s="189" t="s">
        <v>155</v>
      </c>
      <c r="H33" s="191" t="s">
        <v>167</v>
      </c>
      <c r="I33" s="189"/>
      <c r="J33" s="189" t="s">
        <v>261</v>
      </c>
      <c r="K33" s="189" t="s">
        <v>234</v>
      </c>
    </row>
    <row r="34" spans="1:11" ht="51" x14ac:dyDescent="0.2">
      <c r="A34" s="30" t="s">
        <v>235</v>
      </c>
      <c r="B34" s="220" t="s">
        <v>255</v>
      </c>
      <c r="C34" s="195" t="s">
        <v>223</v>
      </c>
      <c r="D34" s="189" t="s">
        <v>256</v>
      </c>
      <c r="E34" s="189"/>
      <c r="F34" s="189" t="s">
        <v>257</v>
      </c>
      <c r="G34" s="189" t="s">
        <v>155</v>
      </c>
      <c r="H34" s="191" t="s">
        <v>167</v>
      </c>
      <c r="I34" s="189"/>
      <c r="J34" s="191" t="s">
        <v>299</v>
      </c>
      <c r="K34" s="189" t="s">
        <v>132</v>
      </c>
    </row>
    <row r="35" spans="1:11" x14ac:dyDescent="0.2">
      <c r="A35" s="30" t="s">
        <v>235</v>
      </c>
      <c r="B35" s="195"/>
      <c r="C35" s="195"/>
      <c r="D35" s="189"/>
      <c r="E35" s="189" t="s">
        <v>284</v>
      </c>
      <c r="F35" s="189" t="s">
        <v>285</v>
      </c>
      <c r="G35" s="189" t="s">
        <v>151</v>
      </c>
      <c r="H35" s="191" t="s">
        <v>167</v>
      </c>
      <c r="I35" s="189"/>
      <c r="J35" s="189" t="s">
        <v>286</v>
      </c>
      <c r="K35" s="189" t="s">
        <v>201</v>
      </c>
    </row>
  </sheetData>
  <autoFilter ref="A3:K34" xr:uid="{9BB46FB0-DB5A-40C8-BBA2-DF1F77FBE3FA}">
    <sortState xmlns:xlrd2="http://schemas.microsoft.com/office/spreadsheetml/2017/richdata2" ref="A4:K32">
      <sortCondition ref="A1:A32"/>
    </sortState>
  </autoFilter>
  <mergeCells count="1">
    <mergeCell ref="B2:K2"/>
  </mergeCells>
  <hyperlinks>
    <hyperlink ref="D16" r:id="rId1" display="https://gojira.am.tsacorp.com/browse/H24-711312" xr:uid="{1E8D9857-3476-440A-BC36-3AC2F2BFF465}"/>
    <hyperlink ref="D17" r:id="rId2" display="https://gojira.am.tsacorp.com/browse/H24-711312" xr:uid="{14EAD7E9-69D0-4696-8E53-248D2EBDC1A4}"/>
    <hyperlink ref="D18" r:id="rId3" display="https://gojira.am.tsacorp.com/browse/H24-711312" xr:uid="{1C464590-215A-4C22-82A6-EDB4B1ACD21F}"/>
    <hyperlink ref="D20" r:id="rId4" display="https://gojira.am.tsacorp.com/browse/H24-719521" xr:uid="{B51A0B03-E662-462F-AFC6-108477B03B38}"/>
    <hyperlink ref="D27" r:id="rId5" display="https://gojira.am.tsacorp.com/browse/H24-709214" xr:uid="{CC9491FF-A4E9-4D0B-B80D-3EB151C7E640}"/>
    <hyperlink ref="F30" r:id="rId6" display="https://gojira.am.tsacorp.com/browse/H24-723416" xr:uid="{D299985D-292E-413D-AB66-5251C9B53097}"/>
  </hyperlink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B6D8-3ED6-4604-9D3C-230668774F72}">
  <dimension ref="A1:AL82"/>
  <sheetViews>
    <sheetView zoomScaleNormal="100" workbookViewId="0">
      <selection activeCell="C27" sqref="C27"/>
    </sheetView>
  </sheetViews>
  <sheetFormatPr defaultColWidth="9.140625" defaultRowHeight="15" x14ac:dyDescent="0.25"/>
  <cols>
    <col min="1" max="1" width="44.5703125" style="37" customWidth="1"/>
    <col min="2" max="2" width="11.85546875" style="37" customWidth="1"/>
    <col min="3" max="3" width="12.85546875" style="37" customWidth="1"/>
    <col min="4" max="4" width="13.42578125" style="37" customWidth="1"/>
    <col min="5" max="5" width="12.42578125" style="37" customWidth="1"/>
    <col min="6" max="6" width="12.7109375" style="37" customWidth="1"/>
    <col min="7" max="8" width="11.42578125" style="37" customWidth="1"/>
    <col min="9" max="9" width="10.42578125" style="37" customWidth="1"/>
    <col min="10" max="10" width="11.5703125" style="37" customWidth="1"/>
    <col min="11" max="12" width="9.28515625" style="37" customWidth="1"/>
    <col min="13" max="13" width="9.7109375" style="37" customWidth="1"/>
    <col min="14" max="14" width="9.42578125" style="37" customWidth="1"/>
    <col min="15" max="15" width="9.7109375" style="37" customWidth="1"/>
    <col min="16" max="18" width="10.140625" style="37" customWidth="1"/>
    <col min="19" max="16384" width="9.140625" style="37"/>
  </cols>
  <sheetData>
    <row r="1" spans="1:38" ht="24" customHeight="1" thickBot="1" x14ac:dyDescent="0.3">
      <c r="A1" s="255" t="s">
        <v>101</v>
      </c>
      <c r="B1" s="256"/>
      <c r="C1" s="256"/>
      <c r="D1" s="256"/>
      <c r="E1" s="256"/>
      <c r="F1" s="256"/>
      <c r="G1" s="256"/>
      <c r="H1" s="256"/>
      <c r="I1" s="256"/>
      <c r="J1" s="256"/>
      <c r="K1" s="256"/>
      <c r="L1" s="256"/>
      <c r="M1" s="256"/>
      <c r="N1" s="256"/>
      <c r="O1" s="256"/>
      <c r="P1" s="256"/>
      <c r="Q1" s="256"/>
      <c r="R1" s="256"/>
      <c r="S1" s="161"/>
      <c r="T1" s="161"/>
      <c r="U1" s="161"/>
      <c r="V1" s="161"/>
      <c r="W1" s="161"/>
      <c r="X1" s="161"/>
      <c r="Y1" s="161"/>
      <c r="Z1" s="162"/>
      <c r="AA1" s="36"/>
      <c r="AB1" s="36"/>
      <c r="AC1" s="36"/>
      <c r="AD1" s="36"/>
      <c r="AF1" s="36"/>
      <c r="AG1" s="36"/>
      <c r="AH1" s="36"/>
      <c r="AI1" s="36"/>
      <c r="AJ1" s="36"/>
      <c r="AK1" s="36"/>
      <c r="AL1" s="36"/>
    </row>
    <row r="2" spans="1:38" ht="15.75" hidden="1" thickBot="1" x14ac:dyDescent="0.3">
      <c r="A2" s="88"/>
      <c r="B2" s="88"/>
      <c r="C2" s="88"/>
      <c r="D2" s="88"/>
      <c r="E2" s="88"/>
      <c r="F2" s="88"/>
      <c r="G2" s="88"/>
      <c r="H2" s="88"/>
      <c r="I2" s="88"/>
      <c r="J2" s="88"/>
      <c r="K2" s="88"/>
      <c r="L2" s="88"/>
      <c r="M2" s="88"/>
      <c r="N2" s="88"/>
      <c r="O2" s="88"/>
      <c r="P2" s="88"/>
      <c r="Q2" s="88"/>
      <c r="R2" s="88"/>
      <c r="S2" s="88"/>
      <c r="T2" s="88"/>
      <c r="U2" s="88"/>
      <c r="V2" s="88"/>
      <c r="W2" s="88"/>
      <c r="X2" s="88"/>
      <c r="Y2" s="88"/>
      <c r="Z2" s="88"/>
      <c r="AA2" s="36"/>
      <c r="AB2" s="36"/>
      <c r="AC2" s="36"/>
      <c r="AD2" s="36"/>
      <c r="AE2" s="36"/>
      <c r="AF2" s="36"/>
      <c r="AG2" s="36"/>
      <c r="AH2" s="36"/>
      <c r="AI2" s="36"/>
      <c r="AJ2" s="36"/>
      <c r="AK2" s="36"/>
      <c r="AL2" s="36"/>
    </row>
    <row r="3" spans="1:38" ht="23.1" hidden="1" customHeight="1" thickBot="1" x14ac:dyDescent="0.3">
      <c r="A3" s="257" t="s">
        <v>33</v>
      </c>
      <c r="B3" s="258"/>
      <c r="C3" s="258"/>
      <c r="D3" s="258"/>
      <c r="E3" s="258"/>
      <c r="F3" s="258"/>
      <c r="G3" s="258"/>
      <c r="H3" s="258"/>
      <c r="I3" s="258"/>
      <c r="J3" s="258"/>
      <c r="K3" s="89"/>
      <c r="L3" s="89"/>
      <c r="M3" s="89"/>
      <c r="N3" s="89"/>
      <c r="O3" s="89"/>
      <c r="P3" s="89"/>
      <c r="Q3" s="89"/>
      <c r="R3" s="89"/>
      <c r="S3" s="89"/>
      <c r="T3" s="89"/>
      <c r="U3" s="89"/>
      <c r="V3" s="89"/>
      <c r="W3" s="89"/>
      <c r="X3" s="89"/>
      <c r="Y3" s="89"/>
      <c r="Z3" s="163"/>
      <c r="AA3" s="36"/>
      <c r="AB3" s="36"/>
      <c r="AC3" s="36"/>
      <c r="AD3" s="36"/>
      <c r="AE3" s="36"/>
      <c r="AF3" s="36"/>
      <c r="AG3" s="36"/>
      <c r="AH3" s="36"/>
      <c r="AI3" s="36"/>
      <c r="AJ3" s="36"/>
      <c r="AK3" s="36"/>
      <c r="AL3" s="36"/>
    </row>
    <row r="4" spans="1:38" s="38" customFormat="1" ht="80.25" hidden="1" customHeight="1" thickBot="1" x14ac:dyDescent="0.3">
      <c r="A4" s="90" t="s">
        <v>34</v>
      </c>
      <c r="B4" s="91" t="s">
        <v>35</v>
      </c>
      <c r="C4" s="91" t="s">
        <v>36</v>
      </c>
      <c r="D4" s="91" t="s">
        <v>37</v>
      </c>
      <c r="E4" s="91" t="s">
        <v>38</v>
      </c>
      <c r="F4" s="91" t="s">
        <v>39</v>
      </c>
      <c r="G4" s="91" t="s">
        <v>40</v>
      </c>
      <c r="H4" s="91" t="s">
        <v>41</v>
      </c>
      <c r="I4" s="91" t="s">
        <v>42</v>
      </c>
      <c r="J4" s="92" t="s">
        <v>43</v>
      </c>
      <c r="K4" s="93"/>
      <c r="L4" s="93"/>
      <c r="M4" s="93"/>
      <c r="N4" s="93"/>
      <c r="O4" s="94"/>
      <c r="P4" s="95"/>
      <c r="Q4" s="95"/>
      <c r="R4" s="95"/>
      <c r="S4" s="133"/>
      <c r="T4" s="133"/>
      <c r="U4" s="133"/>
      <c r="V4" s="133"/>
      <c r="W4" s="133"/>
      <c r="X4" s="133"/>
      <c r="Y4" s="133"/>
      <c r="Z4" s="133"/>
      <c r="AA4" s="39"/>
      <c r="AB4" s="39"/>
      <c r="AC4" s="39"/>
      <c r="AD4" s="39"/>
      <c r="AE4" s="39"/>
      <c r="AF4" s="39"/>
      <c r="AG4" s="39"/>
      <c r="AH4" s="39"/>
      <c r="AI4" s="39"/>
      <c r="AJ4" s="39"/>
      <c r="AK4" s="39"/>
      <c r="AL4" s="39"/>
    </row>
    <row r="5" spans="1:38" s="44" customFormat="1" ht="15.75" hidden="1" thickBot="1" x14ac:dyDescent="0.3">
      <c r="A5" s="96" t="s">
        <v>44</v>
      </c>
      <c r="B5" s="97">
        <v>114512</v>
      </c>
      <c r="C5" s="98">
        <v>3000</v>
      </c>
      <c r="D5" s="98" t="s">
        <v>45</v>
      </c>
      <c r="E5" s="98">
        <v>3000.8</v>
      </c>
      <c r="F5" s="98"/>
      <c r="G5" s="98">
        <v>8.9499999999999993</v>
      </c>
      <c r="H5" s="99">
        <v>3000</v>
      </c>
      <c r="I5" s="98" t="s">
        <v>45</v>
      </c>
      <c r="J5" s="100">
        <v>2432</v>
      </c>
      <c r="K5" s="93"/>
      <c r="L5" s="101"/>
      <c r="M5" s="101"/>
      <c r="N5" s="101"/>
      <c r="O5" s="101"/>
      <c r="P5" s="101"/>
      <c r="Q5" s="101"/>
      <c r="R5" s="101"/>
      <c r="S5" s="123"/>
      <c r="T5" s="123"/>
      <c r="U5" s="123"/>
      <c r="V5" s="123"/>
      <c r="W5" s="123"/>
      <c r="X5" s="123"/>
      <c r="Y5" s="123"/>
      <c r="Z5" s="123"/>
      <c r="AA5" s="45"/>
      <c r="AB5" s="45"/>
      <c r="AC5" s="45"/>
      <c r="AD5" s="45"/>
      <c r="AE5" s="45"/>
      <c r="AF5" s="45"/>
      <c r="AG5" s="45"/>
      <c r="AH5" s="45"/>
      <c r="AI5" s="45"/>
      <c r="AJ5" s="45"/>
      <c r="AK5" s="45"/>
      <c r="AL5" s="45"/>
    </row>
    <row r="6" spans="1:38" ht="15.75" hidden="1" thickBot="1" x14ac:dyDescent="0.3">
      <c r="A6" s="102" t="s">
        <v>45</v>
      </c>
      <c r="B6" s="88"/>
      <c r="C6" s="88"/>
      <c r="D6" s="88" t="s">
        <v>45</v>
      </c>
      <c r="E6" s="88" t="s">
        <v>45</v>
      </c>
      <c r="F6" s="88"/>
      <c r="G6" s="88"/>
      <c r="H6" s="88"/>
      <c r="I6" s="88"/>
      <c r="J6" s="88"/>
      <c r="K6" s="88"/>
      <c r="L6" s="88"/>
      <c r="M6" s="88"/>
      <c r="N6" s="88"/>
      <c r="O6" s="88"/>
      <c r="P6" s="88"/>
      <c r="Q6" s="88"/>
      <c r="R6" s="88"/>
      <c r="S6" s="88"/>
      <c r="T6" s="88"/>
      <c r="U6" s="88"/>
      <c r="V6" s="88"/>
      <c r="W6" s="88"/>
      <c r="X6" s="88"/>
      <c r="Y6" s="88"/>
      <c r="Z6" s="88"/>
      <c r="AA6" s="36"/>
      <c r="AB6" s="36"/>
      <c r="AC6" s="36"/>
      <c r="AD6" s="36"/>
      <c r="AE6" s="36"/>
      <c r="AF6" s="36"/>
      <c r="AG6" s="36"/>
      <c r="AH6" s="36"/>
      <c r="AI6" s="36"/>
      <c r="AJ6" s="36"/>
      <c r="AK6" s="36"/>
      <c r="AL6" s="36"/>
    </row>
    <row r="7" spans="1:38" ht="15.75" hidden="1" thickBot="1" x14ac:dyDescent="0.3">
      <c r="A7" s="88"/>
      <c r="B7" s="103">
        <v>44621</v>
      </c>
      <c r="C7" s="103">
        <v>44652</v>
      </c>
      <c r="D7" s="103">
        <v>44682</v>
      </c>
      <c r="E7" s="103">
        <v>44713</v>
      </c>
      <c r="F7" s="103">
        <v>44743</v>
      </c>
      <c r="G7" s="103">
        <v>44774</v>
      </c>
      <c r="H7" s="103">
        <v>44805</v>
      </c>
      <c r="I7" s="103">
        <v>44835</v>
      </c>
      <c r="J7" s="103">
        <v>44866</v>
      </c>
      <c r="K7" s="103">
        <v>44896</v>
      </c>
      <c r="L7" s="103">
        <v>44927</v>
      </c>
      <c r="M7" s="103">
        <v>44958</v>
      </c>
      <c r="N7" s="103">
        <v>44986</v>
      </c>
      <c r="O7" s="103">
        <v>45017</v>
      </c>
      <c r="P7" s="103">
        <v>45047</v>
      </c>
      <c r="Q7" s="103">
        <v>45078</v>
      </c>
      <c r="R7" s="103">
        <v>45108</v>
      </c>
      <c r="S7" s="103">
        <v>45139</v>
      </c>
      <c r="T7" s="103">
        <v>45170</v>
      </c>
      <c r="U7" s="103">
        <v>45200</v>
      </c>
      <c r="V7" s="103">
        <v>45231</v>
      </c>
      <c r="W7" s="103">
        <v>45261</v>
      </c>
      <c r="X7" s="103">
        <v>45292</v>
      </c>
      <c r="Y7" s="103">
        <v>45323</v>
      </c>
      <c r="Z7" s="160" t="s">
        <v>46</v>
      </c>
      <c r="AA7" s="36"/>
      <c r="AB7" s="36"/>
      <c r="AC7" s="36"/>
      <c r="AD7" s="36"/>
      <c r="AE7" s="36"/>
      <c r="AF7" s="36"/>
      <c r="AG7" s="36"/>
      <c r="AH7" s="36"/>
      <c r="AI7" s="36"/>
      <c r="AJ7" s="36"/>
      <c r="AK7" s="36"/>
      <c r="AL7" s="36"/>
    </row>
    <row r="8" spans="1:38" ht="15.75" hidden="1" thickBot="1" x14ac:dyDescent="0.3">
      <c r="A8" s="104" t="s">
        <v>47</v>
      </c>
      <c r="B8" s="105">
        <v>8.5</v>
      </c>
      <c r="C8" s="106">
        <v>50</v>
      </c>
      <c r="D8" s="105">
        <v>177.5</v>
      </c>
      <c r="E8" s="105">
        <v>280</v>
      </c>
      <c r="F8" s="105">
        <v>168</v>
      </c>
      <c r="G8" s="105">
        <v>201</v>
      </c>
      <c r="H8" s="105">
        <v>229.25</v>
      </c>
      <c r="I8" s="105">
        <v>178.05</v>
      </c>
      <c r="J8" s="105">
        <v>140</v>
      </c>
      <c r="K8" s="105">
        <v>44.5</v>
      </c>
      <c r="L8" s="105">
        <v>81.5</v>
      </c>
      <c r="M8" s="105">
        <v>154.25</v>
      </c>
      <c r="N8" s="105">
        <v>318.25</v>
      </c>
      <c r="O8" s="105">
        <v>102.25</v>
      </c>
      <c r="P8" s="106">
        <v>113.75</v>
      </c>
      <c r="Q8" s="107">
        <v>164.75</v>
      </c>
      <c r="R8" s="107">
        <v>169.75</v>
      </c>
      <c r="S8" s="107">
        <v>96.75</v>
      </c>
      <c r="T8" s="107">
        <v>88.75</v>
      </c>
      <c r="U8" s="107">
        <v>65.25</v>
      </c>
      <c r="V8" s="107">
        <v>119.5</v>
      </c>
      <c r="W8" s="107">
        <v>24.75</v>
      </c>
      <c r="X8" s="107">
        <v>41</v>
      </c>
      <c r="Y8" s="107">
        <v>17.75</v>
      </c>
      <c r="Z8" s="164">
        <f>SUM(B8:Y8)</f>
        <v>3035.05</v>
      </c>
      <c r="AA8" s="36"/>
      <c r="AB8" s="36"/>
      <c r="AC8" s="36"/>
      <c r="AD8" s="36"/>
      <c r="AE8" s="36"/>
      <c r="AF8" s="36"/>
      <c r="AG8" s="36"/>
      <c r="AH8" s="36"/>
      <c r="AI8" s="36"/>
      <c r="AJ8" s="36"/>
      <c r="AK8" s="36"/>
      <c r="AL8" s="36"/>
    </row>
    <row r="9" spans="1:38" ht="15.75" hidden="1" thickBot="1" x14ac:dyDescent="0.3">
      <c r="A9" s="104" t="s">
        <v>48</v>
      </c>
      <c r="B9" s="105"/>
      <c r="C9" s="105">
        <v>200</v>
      </c>
      <c r="D9" s="105">
        <v>200</v>
      </c>
      <c r="E9" s="105">
        <v>240</v>
      </c>
      <c r="F9" s="108">
        <v>200</v>
      </c>
      <c r="G9" s="105">
        <v>150</v>
      </c>
      <c r="H9" s="105">
        <v>150</v>
      </c>
      <c r="I9" s="105">
        <v>150</v>
      </c>
      <c r="J9" s="108">
        <v>150</v>
      </c>
      <c r="K9" s="108">
        <v>100</v>
      </c>
      <c r="L9" s="108">
        <v>100</v>
      </c>
      <c r="M9" s="108">
        <v>100</v>
      </c>
      <c r="N9" s="108">
        <v>100</v>
      </c>
      <c r="O9" s="108">
        <v>100</v>
      </c>
      <c r="P9" s="108">
        <v>100</v>
      </c>
      <c r="Q9" s="108">
        <v>100</v>
      </c>
      <c r="R9" s="108"/>
      <c r="S9" s="108"/>
      <c r="T9" s="108"/>
      <c r="U9" s="108"/>
      <c r="V9" s="108"/>
      <c r="W9" s="108"/>
      <c r="X9" s="108"/>
      <c r="Y9" s="108"/>
      <c r="Z9" s="164" t="s">
        <v>45</v>
      </c>
      <c r="AA9" s="36"/>
      <c r="AB9" s="36"/>
      <c r="AC9" s="36"/>
      <c r="AD9" s="36"/>
      <c r="AE9" s="36"/>
      <c r="AF9" s="36"/>
      <c r="AG9" s="36"/>
      <c r="AH9" s="36"/>
      <c r="AI9" s="36"/>
      <c r="AJ9" s="36"/>
      <c r="AK9" s="36"/>
      <c r="AL9" s="36"/>
    </row>
    <row r="10" spans="1:38" ht="15.75" hidden="1" thickBot="1" x14ac:dyDescent="0.3">
      <c r="A10" s="104" t="s">
        <v>49</v>
      </c>
      <c r="B10" s="105"/>
      <c r="C10" s="105"/>
      <c r="D10" s="105"/>
      <c r="E10" s="105"/>
      <c r="F10" s="108" t="s">
        <v>45</v>
      </c>
      <c r="G10" s="105">
        <v>50</v>
      </c>
      <c r="H10" s="105">
        <v>30</v>
      </c>
      <c r="I10" s="105"/>
      <c r="J10" s="108"/>
      <c r="K10" s="108"/>
      <c r="L10" s="108"/>
      <c r="M10" s="106"/>
      <c r="N10" s="106"/>
      <c r="O10" s="106"/>
      <c r="P10" s="106"/>
      <c r="Q10" s="106"/>
      <c r="R10" s="106"/>
      <c r="S10" s="106"/>
      <c r="T10" s="106"/>
      <c r="U10" s="106"/>
      <c r="V10" s="106"/>
      <c r="W10" s="106"/>
      <c r="X10" s="106"/>
      <c r="Y10" s="106"/>
      <c r="Z10" s="164"/>
      <c r="AA10" s="36"/>
      <c r="AB10" s="36"/>
      <c r="AC10" s="36"/>
      <c r="AD10" s="36"/>
      <c r="AE10" s="36"/>
      <c r="AF10" s="36"/>
      <c r="AG10" s="36"/>
      <c r="AH10" s="36"/>
      <c r="AI10" s="36"/>
      <c r="AJ10" s="36"/>
      <c r="AK10" s="36"/>
      <c r="AL10" s="36"/>
    </row>
    <row r="11" spans="1:38" ht="15.75" hidden="1" thickBot="1" x14ac:dyDescent="0.3">
      <c r="A11" s="104" t="s">
        <v>50</v>
      </c>
      <c r="B11" s="105"/>
      <c r="C11" s="105"/>
      <c r="D11" s="105"/>
      <c r="E11" s="105"/>
      <c r="F11" s="108"/>
      <c r="G11" s="105"/>
      <c r="H11" s="105">
        <v>14</v>
      </c>
      <c r="I11" s="105"/>
      <c r="J11" s="108"/>
      <c r="K11" s="108"/>
      <c r="L11" s="108"/>
      <c r="M11" s="106">
        <v>89</v>
      </c>
      <c r="N11" s="106">
        <v>110</v>
      </c>
      <c r="O11" s="106">
        <v>4.25</v>
      </c>
      <c r="P11" s="106"/>
      <c r="Q11" s="106"/>
      <c r="R11" s="106"/>
      <c r="S11" s="106"/>
      <c r="T11" s="106"/>
      <c r="U11" s="106"/>
      <c r="V11" s="106"/>
      <c r="W11" s="106"/>
      <c r="X11" s="106"/>
      <c r="Y11" s="106"/>
      <c r="Z11" s="164"/>
      <c r="AA11" s="36"/>
      <c r="AB11" s="36"/>
      <c r="AC11" s="36"/>
      <c r="AD11" s="36"/>
      <c r="AE11" s="36"/>
      <c r="AF11" s="36"/>
      <c r="AG11" s="36"/>
      <c r="AH11" s="36"/>
      <c r="AI11" s="36"/>
      <c r="AJ11" s="36"/>
      <c r="AK11" s="36"/>
      <c r="AL11" s="36"/>
    </row>
    <row r="12" spans="1:38" s="38" customFormat="1" ht="48.75" hidden="1" thickBot="1" x14ac:dyDescent="0.3">
      <c r="A12" s="109"/>
      <c r="B12" s="110"/>
      <c r="C12" s="110"/>
      <c r="D12" s="111" t="s">
        <v>51</v>
      </c>
      <c r="E12" s="111" t="s">
        <v>52</v>
      </c>
      <c r="F12" s="112" t="s">
        <v>53</v>
      </c>
      <c r="G12" s="111" t="s">
        <v>54</v>
      </c>
      <c r="H12" s="111" t="s">
        <v>55</v>
      </c>
      <c r="I12" s="111" t="s">
        <v>56</v>
      </c>
      <c r="J12" s="113"/>
      <c r="K12" s="112"/>
      <c r="L12" s="112" t="s">
        <v>57</v>
      </c>
      <c r="M12" s="111"/>
      <c r="N12" s="112" t="s">
        <v>58</v>
      </c>
      <c r="O12" s="114"/>
      <c r="P12" s="115" t="s">
        <v>45</v>
      </c>
      <c r="Q12" s="116"/>
      <c r="R12" s="116"/>
      <c r="S12" s="133"/>
      <c r="T12" s="133"/>
      <c r="U12" s="133"/>
      <c r="V12" s="111" t="s">
        <v>59</v>
      </c>
      <c r="W12" s="113" t="s">
        <v>60</v>
      </c>
      <c r="X12" s="133"/>
      <c r="Y12" s="133"/>
      <c r="Z12" s="133"/>
      <c r="AA12" s="39"/>
      <c r="AB12" s="39"/>
      <c r="AC12" s="39"/>
      <c r="AD12" s="39"/>
      <c r="AE12" s="39"/>
      <c r="AF12" s="39"/>
      <c r="AG12" s="39"/>
      <c r="AH12" s="39"/>
      <c r="AI12" s="39"/>
      <c r="AJ12" s="39"/>
      <c r="AK12" s="39"/>
      <c r="AL12" s="39"/>
    </row>
    <row r="13" spans="1:38" ht="19.5" hidden="1" thickBot="1" x14ac:dyDescent="0.3">
      <c r="A13" s="257" t="s">
        <v>61</v>
      </c>
      <c r="B13" s="259"/>
      <c r="C13" s="259"/>
      <c r="D13" s="259"/>
      <c r="E13" s="259"/>
      <c r="F13" s="259"/>
      <c r="G13" s="259"/>
      <c r="H13" s="259"/>
      <c r="I13" s="259"/>
      <c r="J13" s="259"/>
      <c r="K13" s="259"/>
      <c r="L13" s="259"/>
      <c r="M13" s="259"/>
      <c r="N13" s="259"/>
      <c r="O13" s="259"/>
      <c r="P13" s="259"/>
      <c r="Q13" s="259"/>
      <c r="R13" s="260"/>
      <c r="S13" s="88"/>
      <c r="T13" s="88"/>
      <c r="U13" s="88"/>
      <c r="V13" s="88"/>
      <c r="W13" s="88"/>
      <c r="X13" s="88"/>
      <c r="Y13" s="88"/>
      <c r="Z13" s="88"/>
      <c r="AA13" s="36"/>
      <c r="AB13" s="36"/>
      <c r="AC13" s="36"/>
      <c r="AD13" s="36"/>
      <c r="AE13" s="36"/>
      <c r="AF13" s="36"/>
      <c r="AG13" s="36"/>
      <c r="AH13" s="36"/>
      <c r="AI13" s="36"/>
      <c r="AJ13" s="36"/>
      <c r="AK13" s="36"/>
      <c r="AL13" s="36"/>
    </row>
    <row r="14" spans="1:38" ht="30.75" hidden="1" thickBot="1" x14ac:dyDescent="0.3">
      <c r="A14" s="117" t="s">
        <v>62</v>
      </c>
      <c r="B14" s="117" t="s">
        <v>63</v>
      </c>
      <c r="C14" s="117" t="s">
        <v>64</v>
      </c>
      <c r="D14" s="117" t="s">
        <v>65</v>
      </c>
      <c r="E14" s="117" t="s">
        <v>66</v>
      </c>
      <c r="F14" s="261" t="s">
        <v>28</v>
      </c>
      <c r="G14" s="261"/>
      <c r="H14" s="261"/>
      <c r="I14" s="118" t="s">
        <v>45</v>
      </c>
      <c r="J14" s="110"/>
      <c r="K14" s="119"/>
      <c r="L14" s="119"/>
      <c r="M14" s="119"/>
      <c r="N14" s="110"/>
      <c r="O14" s="110"/>
      <c r="P14" s="110"/>
      <c r="Q14" s="110"/>
      <c r="R14" s="110"/>
      <c r="S14" s="88"/>
      <c r="T14" s="88"/>
      <c r="U14" s="88"/>
      <c r="V14" s="88"/>
      <c r="W14" s="88"/>
      <c r="X14" s="88"/>
      <c r="Y14" s="88"/>
      <c r="Z14" s="88"/>
      <c r="AA14" s="36"/>
      <c r="AB14" s="36"/>
      <c r="AC14" s="36"/>
      <c r="AD14" s="36"/>
      <c r="AE14" s="36"/>
      <c r="AF14" s="36"/>
      <c r="AG14" s="36"/>
      <c r="AH14" s="36"/>
      <c r="AI14" s="36"/>
      <c r="AJ14" s="36"/>
      <c r="AK14" s="36"/>
      <c r="AL14" s="36"/>
    </row>
    <row r="15" spans="1:38" ht="15" hidden="1" customHeight="1" x14ac:dyDescent="0.25">
      <c r="A15" s="120" t="s">
        <v>67</v>
      </c>
      <c r="B15" s="121" t="s">
        <v>68</v>
      </c>
      <c r="C15" s="122">
        <v>0</v>
      </c>
      <c r="D15" s="122">
        <v>149.75</v>
      </c>
      <c r="E15" s="122">
        <v>700</v>
      </c>
      <c r="F15" s="254" t="s">
        <v>45</v>
      </c>
      <c r="G15" s="254"/>
      <c r="H15" s="254"/>
      <c r="I15" s="123"/>
      <c r="J15" s="123"/>
      <c r="K15" s="124"/>
      <c r="L15" s="124"/>
      <c r="M15" s="124"/>
      <c r="N15" s="123"/>
      <c r="O15" s="123"/>
      <c r="P15" s="123"/>
      <c r="Q15" s="123"/>
      <c r="R15" s="123"/>
      <c r="S15" s="88"/>
      <c r="T15" s="88"/>
      <c r="U15" s="88"/>
      <c r="V15" s="88"/>
      <c r="W15" s="88"/>
      <c r="X15" s="88"/>
      <c r="Y15" s="88"/>
      <c r="Z15" s="88"/>
      <c r="AA15" s="36"/>
      <c r="AB15" s="36"/>
      <c r="AC15" s="36"/>
      <c r="AD15" s="36"/>
      <c r="AE15" s="36"/>
      <c r="AF15" s="36"/>
      <c r="AG15" s="36"/>
      <c r="AH15" s="36"/>
      <c r="AI15" s="36"/>
      <c r="AJ15" s="36"/>
      <c r="AK15" s="36"/>
      <c r="AL15" s="36"/>
    </row>
    <row r="16" spans="1:38" ht="15.75" hidden="1" thickBot="1" x14ac:dyDescent="0.3">
      <c r="A16" s="120" t="s">
        <v>69</v>
      </c>
      <c r="B16" s="120">
        <v>55.02</v>
      </c>
      <c r="C16" s="122" t="s">
        <v>45</v>
      </c>
      <c r="D16" s="122">
        <v>2.5</v>
      </c>
      <c r="E16" s="122">
        <v>0</v>
      </c>
      <c r="F16" s="254" t="s">
        <v>45</v>
      </c>
      <c r="G16" s="254"/>
      <c r="H16" s="254"/>
      <c r="I16" s="123"/>
      <c r="J16" s="123"/>
      <c r="K16" s="124"/>
      <c r="L16" s="124"/>
      <c r="M16" s="124"/>
      <c r="N16" s="123"/>
      <c r="O16" s="123"/>
      <c r="P16" s="123"/>
      <c r="Q16" s="123"/>
      <c r="R16" s="123"/>
      <c r="S16" s="88"/>
      <c r="T16" s="88"/>
      <c r="U16" s="88"/>
      <c r="V16" s="88"/>
      <c r="W16" s="88"/>
      <c r="X16" s="88"/>
      <c r="Y16" s="88"/>
      <c r="Z16" s="88"/>
      <c r="AA16" s="36"/>
      <c r="AB16" s="36"/>
      <c r="AC16" s="36"/>
      <c r="AD16" s="36"/>
      <c r="AE16" s="36"/>
      <c r="AF16" s="36"/>
      <c r="AG16" s="36"/>
      <c r="AH16" s="36"/>
      <c r="AI16" s="36"/>
      <c r="AJ16" s="36"/>
      <c r="AK16" s="36"/>
      <c r="AL16" s="36"/>
    </row>
    <row r="17" spans="1:38" ht="15.75" hidden="1" thickBot="1" x14ac:dyDescent="0.3">
      <c r="A17" s="120" t="s">
        <v>70</v>
      </c>
      <c r="B17" s="120">
        <v>55.03</v>
      </c>
      <c r="C17" s="122">
        <v>50</v>
      </c>
      <c r="D17" s="122">
        <v>25.75</v>
      </c>
      <c r="E17" s="122">
        <v>40</v>
      </c>
      <c r="F17" s="254" t="s">
        <v>45</v>
      </c>
      <c r="G17" s="254"/>
      <c r="H17" s="254"/>
      <c r="I17" s="123"/>
      <c r="J17" s="123"/>
      <c r="K17" s="124"/>
      <c r="L17" s="124"/>
      <c r="M17" s="124"/>
      <c r="N17" s="123"/>
      <c r="O17" s="123"/>
      <c r="P17" s="123"/>
      <c r="Q17" s="123"/>
      <c r="R17" s="123"/>
      <c r="S17" s="88"/>
      <c r="T17" s="88"/>
      <c r="U17" s="88"/>
      <c r="V17" s="88"/>
      <c r="W17" s="88"/>
      <c r="X17" s="88"/>
      <c r="Y17" s="88"/>
      <c r="Z17" s="88"/>
      <c r="AA17" s="36"/>
      <c r="AB17" s="36"/>
      <c r="AC17" s="36"/>
      <c r="AD17" s="36"/>
      <c r="AE17" s="36"/>
      <c r="AF17" s="36"/>
      <c r="AG17" s="36"/>
      <c r="AH17" s="36"/>
      <c r="AI17" s="36"/>
      <c r="AJ17" s="36"/>
      <c r="AK17" s="36"/>
      <c r="AL17" s="36"/>
    </row>
    <row r="18" spans="1:38" ht="15.75" hidden="1" thickBot="1" x14ac:dyDescent="0.3">
      <c r="A18" s="120" t="s">
        <v>71</v>
      </c>
      <c r="B18" s="120">
        <v>55.04</v>
      </c>
      <c r="C18" s="122">
        <v>50</v>
      </c>
      <c r="D18" s="122">
        <v>13.5</v>
      </c>
      <c r="E18" s="122">
        <v>40</v>
      </c>
      <c r="F18" s="254"/>
      <c r="G18" s="254"/>
      <c r="H18" s="254"/>
      <c r="I18" s="123"/>
      <c r="J18" s="123"/>
      <c r="K18" s="124"/>
      <c r="L18" s="124"/>
      <c r="M18" s="124"/>
      <c r="N18" s="123"/>
      <c r="O18" s="123"/>
      <c r="P18" s="123"/>
      <c r="Q18" s="123"/>
      <c r="R18" s="123"/>
      <c r="S18" s="88"/>
      <c r="T18" s="88"/>
      <c r="U18" s="88"/>
      <c r="V18" s="88"/>
      <c r="W18" s="88"/>
      <c r="X18" s="88"/>
      <c r="Y18" s="88"/>
      <c r="Z18" s="88"/>
      <c r="AA18" s="36"/>
      <c r="AB18" s="36"/>
      <c r="AC18" s="36"/>
      <c r="AD18" s="36"/>
      <c r="AE18" s="36"/>
      <c r="AF18" s="36"/>
      <c r="AG18" s="36"/>
      <c r="AH18" s="36"/>
      <c r="AI18" s="36"/>
      <c r="AJ18" s="36"/>
      <c r="AK18" s="36"/>
      <c r="AL18" s="36"/>
    </row>
    <row r="19" spans="1:38" ht="15.75" hidden="1" thickBot="1" x14ac:dyDescent="0.3">
      <c r="A19" s="120" t="s">
        <v>72</v>
      </c>
      <c r="B19" s="120">
        <v>55.05</v>
      </c>
      <c r="C19" s="122"/>
      <c r="D19" s="125"/>
      <c r="E19" s="125"/>
      <c r="F19" s="263"/>
      <c r="G19" s="264"/>
      <c r="H19" s="265"/>
      <c r="I19" s="123"/>
      <c r="J19" s="123"/>
      <c r="K19" s="124"/>
      <c r="L19" s="124"/>
      <c r="M19" s="124"/>
      <c r="N19" s="123"/>
      <c r="O19" s="123"/>
      <c r="P19" s="123"/>
      <c r="Q19" s="123"/>
      <c r="R19" s="123"/>
      <c r="S19" s="88"/>
      <c r="T19" s="88"/>
      <c r="U19" s="88"/>
      <c r="V19" s="88"/>
      <c r="W19" s="88"/>
      <c r="X19" s="88"/>
      <c r="Y19" s="88"/>
      <c r="Z19" s="88"/>
      <c r="AA19" s="36"/>
      <c r="AB19" s="36"/>
      <c r="AC19" s="36"/>
      <c r="AD19" s="36"/>
      <c r="AE19" s="36"/>
      <c r="AF19" s="36"/>
      <c r="AG19" s="36"/>
      <c r="AH19" s="36"/>
      <c r="AI19" s="36"/>
      <c r="AJ19" s="36"/>
      <c r="AK19" s="36"/>
      <c r="AL19" s="36"/>
    </row>
    <row r="20" spans="1:38" ht="15.75" hidden="1" thickBot="1" x14ac:dyDescent="0.3">
      <c r="A20" s="120" t="s">
        <v>73</v>
      </c>
      <c r="B20" s="120">
        <v>55.06</v>
      </c>
      <c r="C20" s="122">
        <v>217</v>
      </c>
      <c r="D20" s="125">
        <v>217.25</v>
      </c>
      <c r="E20" s="125"/>
      <c r="F20" s="266"/>
      <c r="G20" s="267"/>
      <c r="H20" s="268"/>
      <c r="I20" s="123"/>
      <c r="J20" s="123"/>
      <c r="K20" s="124"/>
      <c r="L20" s="124"/>
      <c r="M20" s="124"/>
      <c r="N20" s="123"/>
      <c r="O20" s="123"/>
      <c r="P20" s="123"/>
      <c r="Q20" s="123"/>
      <c r="R20" s="123"/>
      <c r="S20" s="88"/>
      <c r="T20" s="88"/>
      <c r="U20" s="88"/>
      <c r="V20" s="88"/>
      <c r="W20" s="88"/>
      <c r="X20" s="88"/>
      <c r="Y20" s="88"/>
      <c r="Z20" s="88"/>
      <c r="AA20" s="36"/>
      <c r="AB20" s="36"/>
      <c r="AC20" s="36"/>
      <c r="AD20" s="36"/>
      <c r="AE20" s="36"/>
      <c r="AF20" s="36"/>
      <c r="AG20" s="36"/>
      <c r="AH20" s="36"/>
      <c r="AI20" s="36"/>
      <c r="AJ20" s="36"/>
      <c r="AK20" s="36"/>
      <c r="AL20" s="36"/>
    </row>
    <row r="21" spans="1:38" ht="15.75" hidden="1" thickBot="1" x14ac:dyDescent="0.3">
      <c r="A21" s="120" t="s">
        <v>74</v>
      </c>
      <c r="B21" s="120">
        <v>55.07</v>
      </c>
      <c r="C21" s="122">
        <v>110</v>
      </c>
      <c r="D21" s="125">
        <v>0</v>
      </c>
      <c r="E21" s="125"/>
      <c r="F21" s="266"/>
      <c r="G21" s="267"/>
      <c r="H21" s="268"/>
      <c r="I21" s="123"/>
      <c r="J21" s="123"/>
      <c r="K21" s="124"/>
      <c r="L21" s="124"/>
      <c r="M21" s="124"/>
      <c r="N21" s="123"/>
      <c r="O21" s="123"/>
      <c r="P21" s="123"/>
      <c r="Q21" s="123"/>
      <c r="R21" s="123"/>
      <c r="S21" s="88"/>
      <c r="T21" s="88"/>
      <c r="U21" s="88"/>
      <c r="V21" s="88"/>
      <c r="W21" s="88"/>
      <c r="X21" s="88"/>
      <c r="Y21" s="88"/>
      <c r="Z21" s="88"/>
      <c r="AA21" s="36"/>
      <c r="AB21" s="36"/>
      <c r="AC21" s="36"/>
      <c r="AD21" s="36"/>
      <c r="AE21" s="36"/>
      <c r="AF21" s="36"/>
      <c r="AG21" s="36"/>
      <c r="AH21" s="36"/>
      <c r="AI21" s="36"/>
      <c r="AJ21" s="36"/>
      <c r="AK21" s="36"/>
      <c r="AL21" s="36"/>
    </row>
    <row r="22" spans="1:38" ht="15.75" hidden="1" thickBot="1" x14ac:dyDescent="0.3">
      <c r="A22" s="120" t="s">
        <v>75</v>
      </c>
      <c r="B22" s="120">
        <v>22.05</v>
      </c>
      <c r="C22" s="122">
        <v>47</v>
      </c>
      <c r="D22" s="125"/>
      <c r="E22" s="125"/>
      <c r="F22" s="263"/>
      <c r="G22" s="264"/>
      <c r="H22" s="265"/>
      <c r="I22" s="123"/>
      <c r="J22" s="123"/>
      <c r="K22" s="124"/>
      <c r="L22" s="124"/>
      <c r="M22" s="124"/>
      <c r="N22" s="123"/>
      <c r="O22" s="123"/>
      <c r="P22" s="123"/>
      <c r="Q22" s="123"/>
      <c r="R22" s="123"/>
      <c r="S22" s="88"/>
      <c r="T22" s="88"/>
      <c r="U22" s="88"/>
      <c r="V22" s="88"/>
      <c r="W22" s="88"/>
      <c r="X22" s="88"/>
      <c r="Y22" s="88"/>
      <c r="Z22" s="88"/>
      <c r="AA22" s="36"/>
      <c r="AB22" s="36"/>
      <c r="AC22" s="36"/>
      <c r="AD22" s="36"/>
      <c r="AE22" s="36"/>
      <c r="AF22" s="36"/>
      <c r="AG22" s="36"/>
      <c r="AH22" s="36"/>
      <c r="AI22" s="36"/>
      <c r="AJ22" s="36"/>
      <c r="AK22" s="36"/>
      <c r="AL22" s="36"/>
    </row>
    <row r="23" spans="1:38" ht="15.75" hidden="1" thickBot="1" x14ac:dyDescent="0.3">
      <c r="A23" s="126" t="s">
        <v>46</v>
      </c>
      <c r="B23" s="127"/>
      <c r="C23" s="127"/>
      <c r="D23" s="128">
        <f>SUM(D15:D18)</f>
        <v>191.5</v>
      </c>
      <c r="E23" s="128">
        <f>SUM(E15:E18)</f>
        <v>780</v>
      </c>
      <c r="F23" s="269"/>
      <c r="G23" s="270"/>
      <c r="H23" s="271"/>
      <c r="I23" s="88"/>
      <c r="J23" s="88"/>
      <c r="K23" s="88"/>
      <c r="L23" s="88"/>
      <c r="M23" s="88"/>
      <c r="N23" s="88"/>
      <c r="O23" s="88"/>
      <c r="P23" s="88"/>
      <c r="Q23" s="88"/>
      <c r="R23" s="88"/>
      <c r="S23" s="88"/>
      <c r="T23" s="88"/>
      <c r="U23" s="88"/>
      <c r="V23" s="88"/>
      <c r="W23" s="88"/>
      <c r="X23" s="88"/>
      <c r="Y23" s="88"/>
      <c r="Z23" s="88"/>
      <c r="AA23" s="36"/>
      <c r="AB23" s="36"/>
      <c r="AC23" s="36"/>
      <c r="AD23" s="36"/>
      <c r="AE23" s="36"/>
      <c r="AF23" s="36"/>
      <c r="AG23" s="36"/>
      <c r="AH23" s="36"/>
      <c r="AI23" s="36"/>
      <c r="AJ23" s="36"/>
      <c r="AK23" s="36"/>
      <c r="AL23" s="36"/>
    </row>
    <row r="24" spans="1:38" ht="15.75" hidden="1" thickBot="1" x14ac:dyDescent="0.3">
      <c r="A24" s="118"/>
      <c r="B24" s="129"/>
      <c r="C24" s="129"/>
      <c r="D24" s="129"/>
      <c r="E24" s="129"/>
      <c r="F24" s="88"/>
      <c r="G24" s="88"/>
      <c r="H24" s="88"/>
      <c r="I24" s="88"/>
      <c r="J24" s="88"/>
      <c r="K24" s="88"/>
      <c r="L24" s="88"/>
      <c r="M24" s="88"/>
      <c r="N24" s="88"/>
      <c r="O24" s="88"/>
      <c r="P24" s="88"/>
      <c r="Q24" s="88"/>
      <c r="R24" s="88"/>
      <c r="S24" s="88"/>
      <c r="T24" s="88"/>
      <c r="U24" s="88"/>
      <c r="V24" s="88"/>
      <c r="W24" s="88"/>
      <c r="X24" s="88"/>
      <c r="Y24" s="88"/>
      <c r="Z24" s="88"/>
      <c r="AA24" s="36"/>
      <c r="AB24" s="36"/>
      <c r="AC24" s="36"/>
      <c r="AD24" s="36"/>
      <c r="AE24" s="36"/>
      <c r="AF24" s="36"/>
      <c r="AG24" s="36"/>
      <c r="AH24" s="36"/>
      <c r="AI24" s="36"/>
      <c r="AJ24" s="36"/>
      <c r="AK24" s="36"/>
      <c r="AL24" s="36"/>
    </row>
    <row r="25" spans="1:38" ht="23.1" customHeight="1" thickBot="1" x14ac:dyDescent="0.3">
      <c r="A25" s="257" t="s">
        <v>102</v>
      </c>
      <c r="B25" s="258"/>
      <c r="C25" s="258"/>
      <c r="D25" s="258"/>
      <c r="E25" s="258"/>
      <c r="F25" s="258"/>
      <c r="G25" s="258"/>
      <c r="H25" s="258"/>
      <c r="I25" s="258"/>
      <c r="J25" s="258"/>
      <c r="K25" s="89"/>
      <c r="L25" s="89"/>
      <c r="M25" s="89"/>
      <c r="N25" s="89"/>
      <c r="O25" s="89"/>
      <c r="P25" s="89"/>
      <c r="Q25" s="89"/>
      <c r="R25" s="89"/>
      <c r="S25" s="89"/>
      <c r="T25" s="89"/>
      <c r="U25" s="89"/>
      <c r="V25" s="89"/>
      <c r="W25" s="89"/>
      <c r="X25" s="89"/>
      <c r="Y25" s="89"/>
      <c r="Z25" s="163"/>
      <c r="AA25" s="36"/>
      <c r="AB25" s="36"/>
      <c r="AC25" s="36"/>
      <c r="AD25" s="36"/>
      <c r="AE25" s="36"/>
      <c r="AF25" s="36"/>
      <c r="AG25" s="36"/>
      <c r="AH25" s="36"/>
      <c r="AI25" s="36"/>
      <c r="AJ25" s="36"/>
      <c r="AK25" s="36"/>
      <c r="AL25" s="36"/>
    </row>
    <row r="26" spans="1:38" s="38" customFormat="1" ht="80.25" customHeight="1" thickBot="1" x14ac:dyDescent="0.3">
      <c r="A26" s="90" t="s">
        <v>34</v>
      </c>
      <c r="B26" s="130" t="s">
        <v>35</v>
      </c>
      <c r="C26" s="130" t="s">
        <v>36</v>
      </c>
      <c r="D26" s="130" t="s">
        <v>37</v>
      </c>
      <c r="E26" s="130" t="s">
        <v>76</v>
      </c>
      <c r="F26" s="130" t="s">
        <v>39</v>
      </c>
      <c r="G26" s="130" t="s">
        <v>77</v>
      </c>
      <c r="H26" s="130" t="s">
        <v>41</v>
      </c>
      <c r="I26" s="131" t="s">
        <v>78</v>
      </c>
      <c r="J26" s="132" t="s">
        <v>79</v>
      </c>
      <c r="K26" s="93"/>
      <c r="L26" s="93"/>
      <c r="M26" s="93"/>
      <c r="N26" s="94"/>
      <c r="O26" s="95"/>
      <c r="P26" s="95"/>
      <c r="Q26" s="95"/>
      <c r="R26" s="133"/>
      <c r="S26" s="39"/>
      <c r="T26" s="39"/>
      <c r="U26" s="39"/>
      <c r="W26" s="39"/>
      <c r="X26" s="39"/>
      <c r="Y26" s="39"/>
      <c r="Z26" s="39"/>
      <c r="AA26" s="39"/>
      <c r="AB26" s="39"/>
      <c r="AC26" s="39"/>
      <c r="AD26" s="39"/>
      <c r="AE26" s="39"/>
      <c r="AF26" s="39"/>
      <c r="AG26" s="39"/>
      <c r="AH26" s="39"/>
      <c r="AI26" s="39"/>
      <c r="AJ26" s="39"/>
      <c r="AK26" s="39"/>
    </row>
    <row r="27" spans="1:38" s="44" customFormat="1" x14ac:dyDescent="0.25">
      <c r="A27" s="40" t="s">
        <v>103</v>
      </c>
      <c r="B27" s="41"/>
      <c r="C27" s="42">
        <v>3360</v>
      </c>
      <c r="D27" s="42"/>
      <c r="E27" s="42">
        <f>SUM(B30:Y30)</f>
        <v>10042.25</v>
      </c>
      <c r="F27" s="42"/>
      <c r="G27" s="42">
        <f>(C27-E27)</f>
        <v>-6682.25</v>
      </c>
      <c r="H27" s="43">
        <v>3360</v>
      </c>
      <c r="I27" s="49">
        <v>3054.4</v>
      </c>
      <c r="J27" s="50">
        <v>2965.4</v>
      </c>
      <c r="K27" s="51"/>
      <c r="L27" s="51"/>
      <c r="M27" s="51"/>
      <c r="N27" s="51"/>
      <c r="O27" s="51"/>
      <c r="P27" s="51"/>
      <c r="Q27" s="51"/>
      <c r="R27" s="45"/>
      <c r="S27" s="45"/>
      <c r="T27" s="45"/>
      <c r="U27" s="45"/>
      <c r="V27" s="45"/>
      <c r="W27" s="45"/>
      <c r="X27" s="45"/>
      <c r="Y27" s="45"/>
      <c r="Z27" s="45"/>
      <c r="AA27" s="45"/>
      <c r="AB27" s="45"/>
      <c r="AC27" s="45"/>
      <c r="AD27" s="45"/>
      <c r="AE27" s="45"/>
      <c r="AF27" s="45"/>
      <c r="AG27" s="45"/>
      <c r="AH27" s="45"/>
      <c r="AI27" s="45"/>
      <c r="AJ27" s="45"/>
      <c r="AK27" s="45"/>
    </row>
    <row r="28" spans="1:38" x14ac:dyDescent="0.25">
      <c r="A28" s="52" t="s">
        <v>45</v>
      </c>
      <c r="B28" s="36"/>
      <c r="C28" s="36"/>
      <c r="D28" s="36" t="s">
        <v>45</v>
      </c>
      <c r="E28" s="36" t="s">
        <v>45</v>
      </c>
      <c r="F28" s="36"/>
      <c r="G28" s="36"/>
      <c r="H28" s="36"/>
      <c r="I28" s="36"/>
      <c r="J28" s="36"/>
      <c r="K28" s="36"/>
      <c r="L28" s="36"/>
      <c r="M28" s="36"/>
      <c r="N28" s="36"/>
      <c r="O28" s="36"/>
      <c r="P28" s="36"/>
      <c r="Q28" s="36"/>
      <c r="R28" s="36"/>
      <c r="S28" s="36"/>
      <c r="T28" s="36"/>
      <c r="U28" s="36"/>
      <c r="V28" s="36"/>
      <c r="X28" s="36"/>
      <c r="Y28" s="36"/>
      <c r="Z28" s="36"/>
      <c r="AA28" s="36"/>
      <c r="AB28" s="36"/>
      <c r="AC28" s="36"/>
      <c r="AD28" s="36"/>
      <c r="AE28" s="36"/>
      <c r="AF28" s="36"/>
      <c r="AG28" s="36"/>
      <c r="AH28" s="36"/>
      <c r="AI28" s="36"/>
      <c r="AJ28" s="36"/>
      <c r="AK28" s="36"/>
      <c r="AL28" s="36"/>
    </row>
    <row r="29" spans="1:38" x14ac:dyDescent="0.25">
      <c r="B29" s="103">
        <v>45658</v>
      </c>
      <c r="C29" s="103">
        <v>45689</v>
      </c>
      <c r="D29" s="103">
        <v>45717</v>
      </c>
      <c r="E29" s="103">
        <v>45748</v>
      </c>
      <c r="F29" s="103">
        <v>45778</v>
      </c>
      <c r="G29" s="103">
        <v>45809</v>
      </c>
      <c r="H29" s="103">
        <v>45839</v>
      </c>
      <c r="I29" s="103">
        <v>45870</v>
      </c>
      <c r="J29" s="103">
        <v>45901</v>
      </c>
      <c r="K29" s="103">
        <v>45931</v>
      </c>
      <c r="L29" s="103">
        <v>45962</v>
      </c>
      <c r="M29" s="103">
        <v>45992</v>
      </c>
      <c r="N29" s="103">
        <v>46023</v>
      </c>
      <c r="O29" s="103">
        <v>46054</v>
      </c>
      <c r="P29" s="103">
        <v>46082</v>
      </c>
      <c r="Q29" s="103">
        <v>46113</v>
      </c>
      <c r="R29" s="103">
        <v>46143</v>
      </c>
      <c r="S29" s="103">
        <v>46174</v>
      </c>
      <c r="T29" s="103">
        <v>46204</v>
      </c>
      <c r="U29" s="103">
        <v>46235</v>
      </c>
      <c r="V29" s="103">
        <v>46266</v>
      </c>
      <c r="W29" s="103">
        <v>46296</v>
      </c>
      <c r="X29" s="103">
        <v>46327</v>
      </c>
      <c r="Y29" s="103">
        <v>46357</v>
      </c>
      <c r="Z29" s="160" t="s">
        <v>46</v>
      </c>
      <c r="AA29" s="36"/>
      <c r="AB29" s="36"/>
      <c r="AC29" s="36"/>
      <c r="AD29" s="36"/>
      <c r="AE29" s="36"/>
      <c r="AF29" s="36"/>
      <c r="AG29" s="36"/>
      <c r="AH29" s="36"/>
      <c r="AI29" s="36"/>
      <c r="AJ29" s="36"/>
      <c r="AK29" s="36"/>
      <c r="AL29" s="36"/>
    </row>
    <row r="30" spans="1:38" x14ac:dyDescent="0.25">
      <c r="A30" s="165" t="s">
        <v>47</v>
      </c>
      <c r="B30" s="312">
        <v>31.5</v>
      </c>
      <c r="C30" s="312">
        <v>514.25</v>
      </c>
      <c r="D30" s="312">
        <v>603.75</v>
      </c>
      <c r="E30" s="312">
        <v>495.5</v>
      </c>
      <c r="F30" s="312">
        <v>700.5</v>
      </c>
      <c r="G30" s="312">
        <v>822.25</v>
      </c>
      <c r="H30" s="312">
        <v>1014.75</v>
      </c>
      <c r="I30" s="312">
        <v>890.75</v>
      </c>
      <c r="J30" s="312">
        <v>1094.75</v>
      </c>
      <c r="K30" s="312">
        <v>747.75</v>
      </c>
      <c r="L30" s="312">
        <v>874.25</v>
      </c>
      <c r="M30" s="312">
        <v>1379.25</v>
      </c>
      <c r="N30" s="312">
        <v>834</v>
      </c>
      <c r="O30" s="312">
        <v>39</v>
      </c>
      <c r="P30" s="46"/>
      <c r="Q30" s="47"/>
      <c r="R30" s="47"/>
      <c r="S30" s="47"/>
      <c r="T30" s="47"/>
      <c r="U30" s="47"/>
      <c r="V30" s="47"/>
      <c r="W30" s="47"/>
      <c r="X30" s="47"/>
      <c r="Y30" s="47"/>
      <c r="Z30" s="48">
        <f>SUM(B30:Y30)</f>
        <v>10042.25</v>
      </c>
      <c r="AA30" s="36"/>
      <c r="AB30" s="36"/>
      <c r="AC30" s="36"/>
      <c r="AD30" s="36"/>
      <c r="AE30" s="36"/>
      <c r="AF30" s="36"/>
      <c r="AG30" s="36"/>
      <c r="AH30" s="36"/>
      <c r="AI30" s="36"/>
      <c r="AJ30" s="36"/>
      <c r="AK30" s="36"/>
      <c r="AL30" s="36"/>
    </row>
    <row r="31" spans="1:38" s="38" customFormat="1" x14ac:dyDescent="0.25">
      <c r="A31" s="53"/>
      <c r="B31" s="54"/>
      <c r="C31" s="54"/>
      <c r="D31" s="54"/>
      <c r="E31" s="54"/>
      <c r="F31" s="55"/>
      <c r="G31" s="54"/>
      <c r="H31" s="54"/>
      <c r="I31" s="54"/>
      <c r="J31" s="39"/>
      <c r="K31" s="55"/>
      <c r="L31" s="55"/>
      <c r="M31" s="56"/>
      <c r="N31" s="55"/>
      <c r="O31" s="56"/>
      <c r="P31" s="55"/>
      <c r="Q31" s="55"/>
      <c r="R31" s="55"/>
      <c r="S31" s="55"/>
      <c r="T31" s="55"/>
      <c r="U31" s="55"/>
      <c r="V31" s="55"/>
      <c r="W31" s="55"/>
      <c r="X31" s="55"/>
      <c r="Y31" s="55"/>
      <c r="Z31" s="39"/>
      <c r="AA31" s="39"/>
      <c r="AB31" s="39"/>
      <c r="AC31" s="39"/>
      <c r="AD31" s="39"/>
      <c r="AE31" s="39"/>
      <c r="AF31" s="39"/>
      <c r="AG31" s="39"/>
      <c r="AH31" s="39"/>
      <c r="AI31" s="39"/>
      <c r="AJ31" s="39"/>
      <c r="AK31" s="39"/>
      <c r="AL31" s="39"/>
    </row>
    <row r="32" spans="1:38" s="38" customFormat="1" x14ac:dyDescent="0.25">
      <c r="A32" s="53"/>
      <c r="B32" s="54"/>
      <c r="C32" s="54"/>
      <c r="D32" s="54"/>
      <c r="E32" s="54"/>
      <c r="F32" s="55"/>
      <c r="G32" s="54"/>
      <c r="H32" s="54"/>
      <c r="I32" s="54"/>
      <c r="J32" s="39"/>
      <c r="K32" s="55"/>
      <c r="L32" s="55"/>
      <c r="M32" s="56"/>
      <c r="N32" s="55"/>
      <c r="O32" s="56"/>
      <c r="P32" s="55"/>
      <c r="Q32" s="57"/>
      <c r="R32" s="57"/>
      <c r="S32" s="39"/>
      <c r="T32" s="39"/>
      <c r="U32" s="39"/>
      <c r="V32" s="39"/>
      <c r="W32" s="39"/>
      <c r="X32" s="39"/>
      <c r="Y32" s="39"/>
      <c r="Z32" s="39"/>
      <c r="AA32" s="39"/>
      <c r="AB32" s="39"/>
      <c r="AC32" s="39"/>
      <c r="AD32" s="39"/>
      <c r="AE32" s="39"/>
      <c r="AF32" s="39"/>
      <c r="AG32" s="39"/>
      <c r="AH32" s="39"/>
      <c r="AI32" s="39"/>
      <c r="AJ32" s="39"/>
      <c r="AK32" s="39"/>
      <c r="AL32" s="39"/>
    </row>
    <row r="33" spans="1:38" x14ac:dyDescent="0.25">
      <c r="A33" s="58"/>
      <c r="B33" s="45"/>
      <c r="C33" s="45"/>
      <c r="D33" s="45"/>
      <c r="E33" s="45"/>
      <c r="F33" s="59"/>
      <c r="G33" s="45"/>
      <c r="H33" s="45"/>
      <c r="I33" s="45"/>
      <c r="J33" s="59"/>
      <c r="K33" s="59"/>
      <c r="L33" s="59"/>
      <c r="M33" s="60"/>
      <c r="N33" s="60"/>
      <c r="O33" s="60"/>
      <c r="P33" s="61"/>
      <c r="Q33" s="51"/>
      <c r="R33" s="51"/>
      <c r="S33" s="36"/>
      <c r="T33" s="36"/>
      <c r="U33" s="36"/>
      <c r="V33" s="36"/>
      <c r="W33" s="36"/>
      <c r="X33" s="36"/>
      <c r="Y33" s="36"/>
      <c r="Z33" s="36"/>
      <c r="AA33" s="36"/>
      <c r="AB33" s="36"/>
      <c r="AC33" s="36"/>
      <c r="AD33" s="36"/>
      <c r="AE33" s="36"/>
      <c r="AF33" s="36"/>
      <c r="AG33" s="36"/>
      <c r="AH33" s="36"/>
      <c r="AI33" s="36"/>
      <c r="AJ33" s="36"/>
      <c r="AK33" s="36"/>
      <c r="AL33" s="36"/>
    </row>
    <row r="34" spans="1:38" ht="19.5" hidden="1" thickBot="1" x14ac:dyDescent="0.3">
      <c r="A34" s="272" t="s">
        <v>80</v>
      </c>
      <c r="B34" s="273"/>
      <c r="C34" s="273"/>
      <c r="D34" s="273"/>
      <c r="E34" s="273"/>
      <c r="F34" s="273"/>
      <c r="G34" s="273"/>
      <c r="H34" s="273"/>
      <c r="I34" s="273"/>
      <c r="J34" s="273"/>
      <c r="K34" s="273"/>
      <c r="L34" s="273"/>
      <c r="M34" s="273"/>
      <c r="N34" s="273"/>
      <c r="O34" s="273"/>
      <c r="P34" s="273"/>
      <c r="Q34" s="273"/>
      <c r="R34" s="274"/>
      <c r="S34" s="36"/>
      <c r="T34" s="36"/>
      <c r="U34" s="36"/>
      <c r="V34" s="36"/>
      <c r="W34" s="36"/>
      <c r="X34" s="36"/>
      <c r="Y34" s="36"/>
      <c r="Z34" s="36"/>
      <c r="AA34" s="36"/>
      <c r="AB34" s="36"/>
      <c r="AC34" s="36"/>
      <c r="AD34" s="36"/>
      <c r="AE34" s="36"/>
      <c r="AF34" s="36"/>
      <c r="AG34" s="36"/>
      <c r="AH34" s="36"/>
      <c r="AI34" s="36"/>
      <c r="AJ34" s="36"/>
      <c r="AK34" s="36"/>
      <c r="AL34" s="36"/>
    </row>
    <row r="35" spans="1:38" ht="45" hidden="1" x14ac:dyDescent="0.25">
      <c r="A35" s="62" t="s">
        <v>34</v>
      </c>
      <c r="B35" s="62" t="s">
        <v>81</v>
      </c>
      <c r="C35" s="62" t="s">
        <v>82</v>
      </c>
      <c r="D35" s="62" t="s">
        <v>83</v>
      </c>
      <c r="E35" s="62" t="s">
        <v>84</v>
      </c>
      <c r="F35" s="62" t="s">
        <v>85</v>
      </c>
      <c r="G35" s="63" t="s">
        <v>86</v>
      </c>
      <c r="H35" s="275" t="s">
        <v>28</v>
      </c>
      <c r="I35" s="275"/>
      <c r="J35" s="275"/>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row>
    <row r="36" spans="1:38" s="38" customFormat="1" ht="47.1" hidden="1" customHeight="1" x14ac:dyDescent="0.25">
      <c r="A36" s="64" t="s">
        <v>87</v>
      </c>
      <c r="B36" s="65">
        <v>115316</v>
      </c>
      <c r="C36" s="66">
        <v>200</v>
      </c>
      <c r="D36" s="66">
        <v>31.5</v>
      </c>
      <c r="E36" s="66">
        <f>SUM(C36-D36)</f>
        <v>168.5</v>
      </c>
      <c r="F36" s="67">
        <f>SUM(D36/C36)</f>
        <v>0.1575</v>
      </c>
      <c r="G36" s="68">
        <v>44834</v>
      </c>
      <c r="H36" s="276"/>
      <c r="I36" s="276"/>
      <c r="J36" s="276"/>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row>
    <row r="37" spans="1:38" hidden="1" x14ac:dyDescent="0.25">
      <c r="A37" s="69"/>
      <c r="B37" s="70">
        <v>44774</v>
      </c>
      <c r="C37" s="70">
        <v>44805</v>
      </c>
      <c r="D37" s="70">
        <v>44835</v>
      </c>
      <c r="E37" s="61" t="s">
        <v>45</v>
      </c>
      <c r="F37" s="61"/>
      <c r="G37" s="71" t="s">
        <v>46</v>
      </c>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row>
    <row r="38" spans="1:38" hidden="1" x14ac:dyDescent="0.25">
      <c r="A38" s="72" t="s">
        <v>47</v>
      </c>
      <c r="B38" s="73">
        <v>12</v>
      </c>
      <c r="C38" s="74"/>
      <c r="D38" s="75"/>
      <c r="E38" s="75"/>
      <c r="F38" s="76"/>
      <c r="G38" s="53">
        <f>SUM(B38:F38)</f>
        <v>12</v>
      </c>
      <c r="H38" s="77"/>
      <c r="I38" s="77"/>
      <c r="J38" s="77"/>
      <c r="K38" s="77"/>
      <c r="L38" s="77"/>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row>
    <row r="39" spans="1:38" hidden="1" x14ac:dyDescent="0.25">
      <c r="A39" s="72"/>
      <c r="B39" s="39"/>
      <c r="C39" s="75"/>
      <c r="D39" s="75"/>
      <c r="E39" s="75"/>
      <c r="F39" s="76"/>
      <c r="G39" s="76"/>
      <c r="H39" s="77"/>
      <c r="I39" s="77"/>
      <c r="J39" s="77"/>
      <c r="K39" s="77"/>
      <c r="L39" s="77"/>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row>
    <row r="40" spans="1:38" x14ac:dyDescent="0.25">
      <c r="A40" s="72"/>
      <c r="B40" s="39"/>
      <c r="C40" s="312" t="s">
        <v>45</v>
      </c>
      <c r="D40" s="312" t="s">
        <v>45</v>
      </c>
      <c r="E40" s="312" t="s">
        <v>45</v>
      </c>
      <c r="F40" s="312" t="s">
        <v>45</v>
      </c>
      <c r="G40" s="312" t="s">
        <v>45</v>
      </c>
      <c r="H40" s="312" t="s">
        <v>45</v>
      </c>
      <c r="I40" s="312" t="s">
        <v>267</v>
      </c>
      <c r="J40" s="312" t="s">
        <v>45</v>
      </c>
      <c r="K40" s="312" t="s">
        <v>45</v>
      </c>
      <c r="L40" s="312" t="s">
        <v>45</v>
      </c>
      <c r="M40" s="312" t="s">
        <v>45</v>
      </c>
      <c r="N40" s="312" t="s">
        <v>45</v>
      </c>
      <c r="O40" s="312" t="s">
        <v>45</v>
      </c>
      <c r="P40" s="312" t="s">
        <v>45</v>
      </c>
      <c r="Q40" s="312" t="s">
        <v>45</v>
      </c>
      <c r="R40" s="312" t="s">
        <v>45</v>
      </c>
      <c r="S40" s="312" t="s">
        <v>45</v>
      </c>
      <c r="T40" s="36"/>
      <c r="U40" s="36"/>
      <c r="V40" s="36"/>
      <c r="W40" s="36"/>
      <c r="X40" s="36"/>
      <c r="Y40" s="36"/>
      <c r="Z40" s="36"/>
      <c r="AA40" s="36"/>
      <c r="AB40" s="36"/>
      <c r="AC40" s="36"/>
      <c r="AD40" s="36"/>
      <c r="AE40" s="36"/>
      <c r="AF40" s="36"/>
      <c r="AG40" s="36"/>
      <c r="AH40" s="36"/>
      <c r="AI40" s="36"/>
      <c r="AJ40" s="36"/>
      <c r="AK40" s="36"/>
      <c r="AL40" s="36"/>
    </row>
    <row r="41" spans="1:38" hidden="1" x14ac:dyDescent="0.25">
      <c r="A41" s="262" t="s">
        <v>88</v>
      </c>
      <c r="B41" s="262"/>
      <c r="C41" s="262"/>
      <c r="D41" s="262"/>
      <c r="E41" s="262"/>
      <c r="F41" s="262"/>
      <c r="G41" s="262"/>
      <c r="H41" s="262"/>
      <c r="I41" s="262"/>
      <c r="J41" s="262"/>
      <c r="K41" s="262"/>
      <c r="L41" s="262"/>
      <c r="M41" s="262"/>
      <c r="N41" s="262"/>
      <c r="O41" s="262"/>
      <c r="P41" s="262"/>
      <c r="Q41" s="262"/>
      <c r="R41" s="78"/>
      <c r="S41" s="36"/>
      <c r="T41" s="36"/>
      <c r="U41" s="36"/>
      <c r="V41" s="36"/>
      <c r="W41" s="36"/>
      <c r="X41" s="36"/>
      <c r="Y41" s="36"/>
      <c r="Z41" s="36"/>
      <c r="AA41" s="36"/>
      <c r="AB41" s="36"/>
      <c r="AC41" s="36"/>
      <c r="AD41" s="36"/>
      <c r="AE41" s="36"/>
      <c r="AF41" s="36"/>
      <c r="AG41" s="36"/>
      <c r="AH41" s="36"/>
      <c r="AI41" s="36"/>
      <c r="AJ41" s="36"/>
      <c r="AK41" s="36"/>
      <c r="AL41" s="36"/>
    </row>
    <row r="42" spans="1:38" ht="15" hidden="1" customHeight="1" x14ac:dyDescent="0.25">
      <c r="A42" s="79" t="s">
        <v>89</v>
      </c>
      <c r="B42" s="79" t="s">
        <v>90</v>
      </c>
      <c r="C42" s="80" t="s">
        <v>91</v>
      </c>
      <c r="D42" s="80" t="s">
        <v>92</v>
      </c>
      <c r="E42" s="79" t="s">
        <v>93</v>
      </c>
      <c r="F42" s="79" t="s">
        <v>94</v>
      </c>
      <c r="G42" s="280" t="s">
        <v>95</v>
      </c>
      <c r="H42" s="281"/>
      <c r="I42" s="282" t="s">
        <v>96</v>
      </c>
      <c r="J42" s="282"/>
      <c r="K42" s="282"/>
      <c r="L42" s="282"/>
      <c r="M42" s="282"/>
      <c r="N42" s="282"/>
      <c r="O42" s="282"/>
      <c r="P42" s="282"/>
      <c r="Q42" s="282"/>
      <c r="R42" s="81"/>
      <c r="S42" s="36"/>
      <c r="T42" s="36"/>
      <c r="U42" s="36"/>
      <c r="V42" s="36"/>
      <c r="W42" s="36"/>
      <c r="X42" s="36"/>
      <c r="Y42" s="36"/>
      <c r="Z42" s="36"/>
      <c r="AA42" s="36"/>
      <c r="AB42" s="36"/>
      <c r="AC42" s="36"/>
      <c r="AD42" s="36"/>
      <c r="AE42" s="36"/>
      <c r="AF42" s="36"/>
      <c r="AG42" s="36"/>
      <c r="AH42" s="36"/>
      <c r="AI42" s="36"/>
      <c r="AJ42" s="36"/>
      <c r="AK42" s="36"/>
      <c r="AL42" s="36"/>
    </row>
    <row r="43" spans="1:38" hidden="1" x14ac:dyDescent="0.25">
      <c r="A43" s="82"/>
      <c r="B43" s="83"/>
      <c r="C43" s="84"/>
      <c r="D43" s="85"/>
      <c r="E43" s="85"/>
      <c r="F43" s="86"/>
      <c r="G43" s="277"/>
      <c r="H43" s="278"/>
      <c r="I43" s="279"/>
      <c r="J43" s="279"/>
      <c r="K43" s="279"/>
      <c r="L43" s="279"/>
      <c r="M43" s="279"/>
      <c r="N43" s="279"/>
      <c r="O43" s="279"/>
      <c r="P43" s="279"/>
      <c r="Q43" s="279"/>
      <c r="R43" s="87"/>
      <c r="S43" s="36"/>
      <c r="T43" s="36"/>
      <c r="U43" s="36"/>
      <c r="V43" s="36"/>
      <c r="W43" s="36"/>
      <c r="X43" s="36"/>
      <c r="Y43" s="36"/>
      <c r="Z43" s="36"/>
      <c r="AA43" s="36"/>
      <c r="AB43" s="36"/>
      <c r="AC43" s="36"/>
      <c r="AD43" s="36"/>
      <c r="AE43" s="36"/>
      <c r="AF43" s="36"/>
      <c r="AG43" s="36"/>
      <c r="AH43" s="36"/>
      <c r="AI43" s="36"/>
      <c r="AJ43" s="36"/>
      <c r="AK43" s="36"/>
      <c r="AL43" s="36"/>
    </row>
    <row r="44" spans="1:38" hidden="1" x14ac:dyDescent="0.25">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row>
    <row r="45" spans="1:38" hidden="1" x14ac:dyDescent="0.25">
      <c r="A45" s="262" t="s">
        <v>97</v>
      </c>
      <c r="B45" s="262"/>
      <c r="C45" s="262"/>
      <c r="D45" s="262"/>
      <c r="E45" s="262"/>
      <c r="F45" s="262"/>
      <c r="G45" s="262"/>
      <c r="H45" s="262"/>
      <c r="I45" s="262"/>
      <c r="J45" s="262"/>
      <c r="K45" s="262"/>
      <c r="L45" s="262"/>
      <c r="M45" s="262"/>
      <c r="N45" s="262"/>
      <c r="O45" s="262"/>
      <c r="P45" s="262"/>
      <c r="Q45" s="262"/>
      <c r="R45" s="78"/>
      <c r="S45" s="36"/>
      <c r="T45" s="36"/>
      <c r="U45" s="36"/>
      <c r="V45" s="36"/>
      <c r="W45" s="36"/>
      <c r="X45" s="36"/>
      <c r="Y45" s="36"/>
      <c r="Z45" s="36"/>
      <c r="AA45" s="36"/>
      <c r="AB45" s="36"/>
      <c r="AC45" s="36"/>
      <c r="AD45" s="36"/>
      <c r="AE45" s="36"/>
      <c r="AF45" s="36"/>
      <c r="AG45" s="36"/>
      <c r="AH45" s="36"/>
      <c r="AI45" s="36"/>
      <c r="AJ45" s="36"/>
      <c r="AK45" s="36"/>
      <c r="AL45" s="36"/>
    </row>
    <row r="46" spans="1:38" ht="15" hidden="1" customHeight="1" x14ac:dyDescent="0.25">
      <c r="A46" s="79" t="s">
        <v>89</v>
      </c>
      <c r="B46" s="79" t="s">
        <v>90</v>
      </c>
      <c r="C46" s="80" t="s">
        <v>98</v>
      </c>
      <c r="D46" s="80" t="s">
        <v>99</v>
      </c>
      <c r="E46" s="79" t="s">
        <v>100</v>
      </c>
      <c r="F46" s="79" t="s">
        <v>45</v>
      </c>
      <c r="G46" s="280" t="s">
        <v>95</v>
      </c>
      <c r="H46" s="281"/>
      <c r="I46" s="282" t="s">
        <v>96</v>
      </c>
      <c r="J46" s="282"/>
      <c r="K46" s="282"/>
      <c r="L46" s="282"/>
      <c r="M46" s="282"/>
      <c r="N46" s="282"/>
      <c r="O46" s="282"/>
      <c r="P46" s="282"/>
      <c r="Q46" s="282"/>
      <c r="R46" s="81"/>
      <c r="S46" s="36"/>
      <c r="T46" s="36"/>
      <c r="U46" s="36"/>
      <c r="V46" s="36"/>
      <c r="W46" s="36"/>
      <c r="X46" s="36"/>
      <c r="Y46" s="36"/>
      <c r="Z46" s="36"/>
      <c r="AA46" s="36"/>
      <c r="AB46" s="36"/>
      <c r="AC46" s="36"/>
      <c r="AD46" s="36"/>
      <c r="AE46" s="36"/>
      <c r="AF46" s="36"/>
      <c r="AG46" s="36"/>
      <c r="AH46" s="36"/>
      <c r="AI46" s="36"/>
      <c r="AJ46" s="36"/>
      <c r="AK46" s="36"/>
      <c r="AL46" s="36"/>
    </row>
    <row r="47" spans="1:38" hidden="1" x14ac:dyDescent="0.25">
      <c r="A47" s="82"/>
      <c r="B47" s="83"/>
      <c r="C47" s="84"/>
      <c r="D47" s="85"/>
      <c r="E47" s="85"/>
      <c r="F47" s="86"/>
      <c r="G47" s="277"/>
      <c r="H47" s="278"/>
      <c r="I47" s="279"/>
      <c r="J47" s="279"/>
      <c r="K47" s="279"/>
      <c r="L47" s="279"/>
      <c r="M47" s="279"/>
      <c r="N47" s="279"/>
      <c r="O47" s="279"/>
      <c r="P47" s="279"/>
      <c r="Q47" s="279"/>
      <c r="R47" s="87"/>
      <c r="S47" s="36"/>
      <c r="T47" s="36"/>
      <c r="U47" s="36"/>
      <c r="V47" s="36"/>
      <c r="W47" s="36"/>
      <c r="X47" s="36"/>
      <c r="Y47" s="36"/>
      <c r="Z47" s="36"/>
      <c r="AA47" s="36"/>
      <c r="AB47" s="36"/>
      <c r="AC47" s="36"/>
      <c r="AD47" s="36"/>
      <c r="AE47" s="36"/>
      <c r="AF47" s="36"/>
      <c r="AG47" s="36"/>
      <c r="AH47" s="36"/>
      <c r="AI47" s="36"/>
      <c r="AJ47" s="36"/>
      <c r="AK47" s="36"/>
      <c r="AL47" s="36"/>
    </row>
    <row r="48" spans="1:38" hidden="1" x14ac:dyDescent="0.25">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row>
    <row r="49" spans="1:38" hidden="1" x14ac:dyDescent="0.25">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row>
    <row r="50" spans="1:38" x14ac:dyDescent="0.25">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row>
    <row r="51" spans="1:38" x14ac:dyDescent="0.25">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row>
    <row r="52" spans="1:38" x14ac:dyDescent="0.25">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row>
    <row r="53" spans="1:38" x14ac:dyDescent="0.25">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row>
    <row r="54" spans="1:38" x14ac:dyDescent="0.25">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row>
    <row r="55" spans="1:38" x14ac:dyDescent="0.2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row>
    <row r="56" spans="1:38" x14ac:dyDescent="0.25">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row>
    <row r="57" spans="1:38" x14ac:dyDescent="0.25">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row>
    <row r="58" spans="1:38" x14ac:dyDescent="0.25">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row>
    <row r="59" spans="1:38" x14ac:dyDescent="0.25">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row>
    <row r="60" spans="1:38" x14ac:dyDescent="0.25">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row>
    <row r="61" spans="1:38" x14ac:dyDescent="0.25">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row>
    <row r="62" spans="1:38" x14ac:dyDescent="0.25">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row>
    <row r="63" spans="1:38" x14ac:dyDescent="0.2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row>
    <row r="64" spans="1:38" x14ac:dyDescent="0.2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row>
    <row r="65" spans="1:38" x14ac:dyDescent="0.2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row>
    <row r="66" spans="1:38" x14ac:dyDescent="0.2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row>
    <row r="67" spans="1:38" x14ac:dyDescent="0.2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row>
    <row r="68" spans="1:38" x14ac:dyDescent="0.2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row>
    <row r="69" spans="1:38" x14ac:dyDescent="0.25">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row>
    <row r="70" spans="1:38" x14ac:dyDescent="0.25">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row>
    <row r="71" spans="1:38" x14ac:dyDescent="0.25">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row>
    <row r="72" spans="1:38" x14ac:dyDescent="0.25">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row>
    <row r="73" spans="1:38" x14ac:dyDescent="0.2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row>
    <row r="74" spans="1:38" x14ac:dyDescent="0.2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row>
    <row r="75" spans="1:38" x14ac:dyDescent="0.2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row>
    <row r="76" spans="1:38" x14ac:dyDescent="0.25">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row>
    <row r="77" spans="1:38" x14ac:dyDescent="0.2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row>
    <row r="78" spans="1:38" x14ac:dyDescent="0.2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row>
    <row r="79" spans="1:38" x14ac:dyDescent="0.25">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row>
    <row r="80" spans="1:38" x14ac:dyDescent="0.25">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row>
    <row r="81" spans="1:33" x14ac:dyDescent="0.25">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row>
    <row r="82" spans="1:33" x14ac:dyDescent="0.25">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row>
  </sheetData>
  <mergeCells count="27">
    <mergeCell ref="G47:H47"/>
    <mergeCell ref="I47:Q47"/>
    <mergeCell ref="G42:H42"/>
    <mergeCell ref="I42:Q42"/>
    <mergeCell ref="G43:H43"/>
    <mergeCell ref="I43:Q43"/>
    <mergeCell ref="A45:Q45"/>
    <mergeCell ref="G46:H46"/>
    <mergeCell ref="I46:Q46"/>
    <mergeCell ref="A41:Q41"/>
    <mergeCell ref="F17:H17"/>
    <mergeCell ref="F18:H18"/>
    <mergeCell ref="F19:H19"/>
    <mergeCell ref="F20:H20"/>
    <mergeCell ref="F21:H21"/>
    <mergeCell ref="F22:H22"/>
    <mergeCell ref="F23:H23"/>
    <mergeCell ref="A25:J25"/>
    <mergeCell ref="A34:R34"/>
    <mergeCell ref="H35:J35"/>
    <mergeCell ref="H36:J36"/>
    <mergeCell ref="F16:H16"/>
    <mergeCell ref="A1:R1"/>
    <mergeCell ref="A3:J3"/>
    <mergeCell ref="A13:R13"/>
    <mergeCell ref="F14:H14"/>
    <mergeCell ref="F15:H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6CB4-1349-46F3-9FD7-75A7FD4F88BA}">
  <dimension ref="A1:J13"/>
  <sheetViews>
    <sheetView topLeftCell="A4" workbookViewId="0">
      <selection activeCell="R26" sqref="R26"/>
    </sheetView>
  </sheetViews>
  <sheetFormatPr defaultColWidth="8.7109375" defaultRowHeight="12.75" x14ac:dyDescent="0.2"/>
  <cols>
    <col min="1" max="1" width="4.140625" style="23" customWidth="1"/>
    <col min="2" max="2" width="3.42578125" style="23" customWidth="1"/>
    <col min="3" max="3" width="3" style="23" customWidth="1"/>
    <col min="4" max="4" width="20.5703125" style="23" customWidth="1"/>
    <col min="5" max="5" width="31.140625" style="23" customWidth="1"/>
    <col min="6" max="6" width="29.140625" style="23" customWidth="1"/>
    <col min="7" max="7" width="23" style="23" customWidth="1"/>
    <col min="8" max="8" width="36.85546875" style="23" customWidth="1"/>
    <col min="9" max="16384" width="8.7109375" style="23"/>
  </cols>
  <sheetData>
    <row r="1" spans="1:10" x14ac:dyDescent="0.2">
      <c r="A1" s="22"/>
      <c r="B1" s="22"/>
      <c r="C1" s="22"/>
      <c r="D1" s="22"/>
      <c r="E1" s="22"/>
      <c r="F1" s="22"/>
      <c r="G1" s="22"/>
      <c r="H1" s="22"/>
      <c r="I1" s="22"/>
      <c r="J1" s="22"/>
    </row>
    <row r="2" spans="1:10" x14ac:dyDescent="0.2">
      <c r="A2" s="22"/>
      <c r="B2" s="22"/>
      <c r="C2" s="22"/>
      <c r="D2" s="22"/>
      <c r="E2" s="22"/>
      <c r="F2" s="22"/>
      <c r="G2" s="22"/>
      <c r="H2" s="22"/>
      <c r="I2" s="22"/>
      <c r="J2" s="22"/>
    </row>
    <row r="3" spans="1:10" ht="21" thickBot="1" x14ac:dyDescent="0.35">
      <c r="A3" s="22"/>
      <c r="B3" s="22"/>
      <c r="C3" s="22"/>
      <c r="D3" s="283">
        <v>2026</v>
      </c>
      <c r="E3" s="283"/>
      <c r="F3" s="283"/>
      <c r="G3" s="283"/>
      <c r="H3" s="283"/>
      <c r="I3" s="134"/>
      <c r="J3" s="22"/>
    </row>
    <row r="4" spans="1:10" ht="39" thickTop="1" thickBot="1" x14ac:dyDescent="0.25">
      <c r="A4" s="22"/>
      <c r="B4" s="135"/>
      <c r="C4" s="136"/>
      <c r="D4" s="137" t="s">
        <v>104</v>
      </c>
      <c r="E4" s="138" t="s">
        <v>105</v>
      </c>
      <c r="F4" s="139" t="s">
        <v>106</v>
      </c>
      <c r="G4" s="138" t="s">
        <v>107</v>
      </c>
      <c r="H4" s="140" t="s">
        <v>108</v>
      </c>
      <c r="I4" s="141"/>
      <c r="J4" s="22"/>
    </row>
    <row r="5" spans="1:10" ht="19.5" thickBot="1" x14ac:dyDescent="0.25">
      <c r="A5" s="22"/>
      <c r="B5" s="135"/>
      <c r="C5" s="136"/>
      <c r="D5" s="144" t="s">
        <v>268</v>
      </c>
      <c r="F5" s="146" t="s">
        <v>45</v>
      </c>
      <c r="G5" s="145">
        <v>46036</v>
      </c>
      <c r="H5" s="147" t="s">
        <v>272</v>
      </c>
      <c r="I5" s="141"/>
      <c r="J5" s="22"/>
    </row>
    <row r="6" spans="1:10" ht="19.5" thickBot="1" x14ac:dyDescent="0.25">
      <c r="A6" s="22"/>
      <c r="B6" s="135"/>
      <c r="C6" s="136"/>
      <c r="D6" s="144" t="s">
        <v>268</v>
      </c>
      <c r="E6" s="145">
        <v>46044</v>
      </c>
      <c r="F6" s="146" t="s">
        <v>271</v>
      </c>
      <c r="G6" s="145">
        <v>46044</v>
      </c>
      <c r="H6" s="147" t="s">
        <v>270</v>
      </c>
      <c r="I6" s="141"/>
      <c r="J6" s="22"/>
    </row>
    <row r="7" spans="1:10" ht="19.5" thickBot="1" x14ac:dyDescent="0.25">
      <c r="A7" s="22"/>
      <c r="B7" s="135"/>
      <c r="C7" s="136"/>
      <c r="D7" s="313" t="s">
        <v>269</v>
      </c>
      <c r="E7" s="314">
        <v>46075</v>
      </c>
      <c r="F7" s="315" t="s">
        <v>273</v>
      </c>
      <c r="G7" s="145" t="s">
        <v>45</v>
      </c>
      <c r="H7" s="147" t="s">
        <v>45</v>
      </c>
      <c r="I7" s="141"/>
      <c r="J7" s="22"/>
    </row>
    <row r="8" spans="1:10" ht="19.5" thickBot="1" x14ac:dyDescent="0.25">
      <c r="A8" s="22"/>
      <c r="B8" s="135"/>
      <c r="C8" s="136"/>
      <c r="D8" s="144" t="s">
        <v>269</v>
      </c>
      <c r="E8" s="145" t="s">
        <v>45</v>
      </c>
      <c r="F8" s="146" t="s">
        <v>45</v>
      </c>
      <c r="G8" s="145" t="s">
        <v>45</v>
      </c>
      <c r="H8" s="147" t="s">
        <v>45</v>
      </c>
      <c r="I8" s="141"/>
      <c r="J8" s="22"/>
    </row>
    <row r="9" spans="1:10" ht="19.5" thickBot="1" x14ac:dyDescent="0.25">
      <c r="A9" s="22"/>
      <c r="B9" s="142"/>
      <c r="C9" s="143"/>
      <c r="D9" s="144" t="s">
        <v>109</v>
      </c>
      <c r="E9" s="145">
        <v>46108</v>
      </c>
      <c r="F9" s="146" t="s">
        <v>110</v>
      </c>
      <c r="G9" s="145">
        <v>46111</v>
      </c>
      <c r="H9" s="147" t="s">
        <v>30</v>
      </c>
      <c r="I9" s="148"/>
      <c r="J9" s="22"/>
    </row>
    <row r="10" spans="1:10" ht="19.5" thickBot="1" x14ac:dyDescent="0.25">
      <c r="A10" s="22"/>
      <c r="B10" s="135"/>
      <c r="C10" s="149"/>
      <c r="D10" s="150" t="s">
        <v>111</v>
      </c>
      <c r="E10" s="151">
        <v>46199</v>
      </c>
      <c r="F10" s="152" t="s">
        <v>112</v>
      </c>
      <c r="G10" s="151">
        <v>46202</v>
      </c>
      <c r="H10" s="153" t="s">
        <v>113</v>
      </c>
      <c r="I10" s="154"/>
      <c r="J10" s="22"/>
    </row>
    <row r="11" spans="1:10" ht="19.5" thickBot="1" x14ac:dyDescent="0.25">
      <c r="A11" s="22"/>
      <c r="B11" s="155"/>
      <c r="C11" s="143"/>
      <c r="D11" s="156" t="s">
        <v>114</v>
      </c>
      <c r="E11" s="145">
        <v>46290</v>
      </c>
      <c r="F11" s="157" t="s">
        <v>115</v>
      </c>
      <c r="G11" s="145">
        <v>46293</v>
      </c>
      <c r="H11" s="158" t="s">
        <v>116</v>
      </c>
      <c r="I11" s="159"/>
      <c r="J11" s="22"/>
    </row>
    <row r="12" spans="1:10" ht="19.5" thickBot="1" x14ac:dyDescent="0.25">
      <c r="A12" s="22"/>
      <c r="B12" s="135"/>
      <c r="C12" s="149"/>
      <c r="D12" s="150" t="s">
        <v>117</v>
      </c>
      <c r="E12" s="151">
        <v>46367</v>
      </c>
      <c r="F12" s="152" t="s">
        <v>118</v>
      </c>
      <c r="G12" s="151">
        <v>46370</v>
      </c>
      <c r="H12" s="153" t="s">
        <v>119</v>
      </c>
      <c r="I12" s="154"/>
      <c r="J12" s="22"/>
    </row>
    <row r="13" spans="1:10" x14ac:dyDescent="0.2">
      <c r="A13" s="22"/>
      <c r="B13" s="22"/>
      <c r="C13" s="22"/>
      <c r="D13" s="22"/>
      <c r="E13" s="22"/>
      <c r="F13" s="22"/>
      <c r="G13" s="22"/>
      <c r="H13" s="22"/>
      <c r="I13" s="22"/>
      <c r="J13" s="22"/>
    </row>
  </sheetData>
  <mergeCells count="1">
    <mergeCell ref="D3:H3"/>
  </mergeCells>
  <pageMargins left="0.7" right="0.7" top="0.75" bottom="0.75" header="0.3" footer="0.3"/>
</worksheet>
</file>

<file path=docMetadata/LabelInfo.xml><?xml version="1.0" encoding="utf-8"?>
<clbl:labelList xmlns:clbl="http://schemas.microsoft.com/office/2020/mipLabelMetadata">
  <clbl:label id="{d1b7f118-5cb2-4d4e-85a3-82e07efb07e9}" enabled="0" method="" siteId="{d1b7f118-5cb2-4d4e-85a3-82e07efb07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00 Executive Dashboard Program</vt:lpstr>
      <vt:lpstr>Project Meeting Minutes</vt:lpstr>
      <vt:lpstr>Sprint Backlog</vt:lpstr>
      <vt:lpstr>Budget</vt:lpstr>
      <vt:lpstr>Release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Cox, Stephanie</dc:creator>
  <cp:lastModifiedBy>Herrera, Oscar</cp:lastModifiedBy>
  <dcterms:created xsi:type="dcterms:W3CDTF">2026-01-23T22:19:38Z</dcterms:created>
  <dcterms:modified xsi:type="dcterms:W3CDTF">2026-02-06T17:46:31Z</dcterms:modified>
</cp:coreProperties>
</file>