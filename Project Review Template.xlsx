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HERRERAO\Downloads\"/>
    </mc:Choice>
  </mc:AlternateContent>
  <xr:revisionPtr revIDLastSave="0" documentId="13_ncr:1_{413E2FBB-84FE-4AC8-B09F-3C5209E414F3}" xr6:coauthVersionLast="47" xr6:coauthVersionMax="47" xr10:uidLastSave="{00000000-0000-0000-0000-000000000000}"/>
  <bookViews>
    <workbookView xWindow="-120" yWindow="-120" windowWidth="29040" windowHeight="17520" xr2:uid="{AB4BCABE-38C0-4762-AB12-1952947F6BF1}"/>
  </bookViews>
  <sheets>
    <sheet name="Project Info" sheetId="2" r:id="rId1"/>
    <sheet name="JIRA Data" sheetId="5" r:id="rId2"/>
    <sheet name="Deliverable Review" sheetId="3" r:id="rId3"/>
    <sheet name="Deliverable Matrix" sheetId="1" r:id="rId4"/>
    <sheet name="Sheet1" sheetId="6" r:id="rId5"/>
    <sheet name="Sheet4" sheetId="4" state="hidden" r:id="rId6"/>
  </sheets>
  <definedNames>
    <definedName name="_xlnm._FilterDatabase" localSheetId="3" hidden="1">'Deliverable Matrix'!$A$2:$H$25</definedName>
    <definedName name="_xlnm._FilterDatabase" localSheetId="2" hidden="1">'Deliverable Review'!$A$3:$K$25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0" i="5" l="1"/>
  <c r="B2" i="5"/>
  <c r="B1" i="3"/>
</calcChain>
</file>

<file path=xl/sharedStrings.xml><?xml version="1.0" encoding="utf-8"?>
<sst xmlns="http://schemas.openxmlformats.org/spreadsheetml/2006/main" count="606" uniqueCount="185">
  <si>
    <t xml:space="preserve">JIRA Project Record: </t>
  </si>
  <si>
    <t>Project Summary:</t>
  </si>
  <si>
    <t>Customer:</t>
  </si>
  <si>
    <t>Project Type:</t>
  </si>
  <si>
    <t>New Implementation</t>
  </si>
  <si>
    <t>Current Project Stage:</t>
  </si>
  <si>
    <t>Inicio</t>
  </si>
  <si>
    <t>Current Project Overall Health:</t>
  </si>
  <si>
    <t>GREEN</t>
  </si>
  <si>
    <t xml:space="preserve">Project Repository Link: </t>
  </si>
  <si>
    <t>https://aciww.sharepoint.com/sites/isextnsn/proj/SVB-Project%20Implementation</t>
  </si>
  <si>
    <t>Region:</t>
  </si>
  <si>
    <t>LatAm</t>
  </si>
  <si>
    <t>Project Manager:</t>
  </si>
  <si>
    <t xml:space="preserve">Delivery Exec: </t>
  </si>
  <si>
    <t>BPA:</t>
  </si>
  <si>
    <t>Date of Review:</t>
  </si>
  <si>
    <t>Summary of Review</t>
  </si>
  <si>
    <t>This Professional Service Bucket of Hours is defined to address additional developments, requirements or service activities that may arise after completion of a comprehensive Business Assessment Workshop (BAW). And to support the implementation strategy of SERVIBANCA to ACI solutions.
ACI products considered in the SERVIBANCA solution are:
POSTILION vanilla implementation
UPF vanilla implementation
ASSET vanilla implementation
Bucket of Hours for customizations (CSMs, other)
NOTE: vanilla implementation of the products is considered and a BOH for CSMs (customizations) and other services, as required.</t>
  </si>
  <si>
    <t xml:space="preserve">Date of Review: </t>
  </si>
  <si>
    <t>Project Health</t>
  </si>
  <si>
    <t>Jira Field</t>
  </si>
  <si>
    <t>Current JIRA Value</t>
  </si>
  <si>
    <t>Accurate Based on Criteria (Y/N)</t>
  </si>
  <si>
    <t>If Red / Yellow: 
Get to Green Defined</t>
  </si>
  <si>
    <t>Compliance (R/Y/G)</t>
  </si>
  <si>
    <t>Comments</t>
  </si>
  <si>
    <t>Overall Project Health</t>
  </si>
  <si>
    <t>Y</t>
  </si>
  <si>
    <t>Schedule Health</t>
  </si>
  <si>
    <t>Budget Health</t>
  </si>
  <si>
    <t>Customer Satisfaction</t>
  </si>
  <si>
    <t>Weekly Status Commentary is Being Updated</t>
  </si>
  <si>
    <t>Project Dates</t>
  </si>
  <si>
    <t>Accurate Based on Project Schedule (Y/N)</t>
  </si>
  <si>
    <t>If Not Accurate - 
 Correct Value</t>
  </si>
  <si>
    <t>Current Go Live Date</t>
  </si>
  <si>
    <t>Actual Go Live Date</t>
  </si>
  <si>
    <t>Target End Date</t>
  </si>
  <si>
    <t>Project Status Date</t>
  </si>
  <si>
    <t>Contract Data 
(Duplicate if More Than One Contract / Quote Associated with JIRA Record)</t>
  </si>
  <si>
    <t>Accurate Based on Quote / Contract</t>
  </si>
  <si>
    <t>Opportunity Link</t>
  </si>
  <si>
    <t>https://aciworldwide.lightning.force.com/lightning/r/Opportunity/0064u000015OP1TAAW/view</t>
  </si>
  <si>
    <t>Oracle Project Number</t>
  </si>
  <si>
    <t>Contract Basis</t>
  </si>
  <si>
    <t>Revenue Type</t>
  </si>
  <si>
    <t>Contracted Hours</t>
  </si>
  <si>
    <t>Contract Value</t>
  </si>
  <si>
    <t>General JIRA Data</t>
  </si>
  <si>
    <t>Project Phase</t>
  </si>
  <si>
    <t>Solution Planning</t>
  </si>
  <si>
    <t>L2 Product(s)</t>
  </si>
  <si>
    <t>Postilion-Retail Payments
UP Framework</t>
  </si>
  <si>
    <t>Solution</t>
  </si>
  <si>
    <t>Retail Payments</t>
  </si>
  <si>
    <t>Project Key Metric</t>
  </si>
  <si>
    <t>Project Type</t>
  </si>
  <si>
    <t>T&amp;M</t>
  </si>
  <si>
    <t>H24 Handover Required</t>
  </si>
  <si>
    <t>H24 Handover Case Link</t>
  </si>
  <si>
    <t>N</t>
  </si>
  <si>
    <t xml:space="preserve">Project Type: </t>
  </si>
  <si>
    <t>IM Phase</t>
  </si>
  <si>
    <t>Deliverable</t>
  </si>
  <si>
    <t>Upgrade / Migration</t>
  </si>
  <si>
    <t xml:space="preserve">PCS / Bucket of Hours </t>
  </si>
  <si>
    <t>Customizations - Aligned to Any Project Type</t>
  </si>
  <si>
    <t>Completed (Y/N)</t>
  </si>
  <si>
    <t>Stored in Project Respository (Y/N)</t>
  </si>
  <si>
    <t>Date Validated</t>
  </si>
  <si>
    <t>Link to Deliverable</t>
  </si>
  <si>
    <t>Comments (Required for Any Missing Deliverable)</t>
  </si>
  <si>
    <t>Hardware Sizing (On-Premise Only)</t>
  </si>
  <si>
    <t>Required</t>
  </si>
  <si>
    <t>Optional</t>
  </si>
  <si>
    <t>Solution Scope Document</t>
  </si>
  <si>
    <t>Gap Analysis</t>
  </si>
  <si>
    <t>Implementation Estimate</t>
  </si>
  <si>
    <t>Statement of Work</t>
  </si>
  <si>
    <t>Quote</t>
  </si>
  <si>
    <t>Customer Contract</t>
  </si>
  <si>
    <t>Project Requirements Document</t>
  </si>
  <si>
    <t>User Story</t>
  </si>
  <si>
    <t>Plan and Design</t>
  </si>
  <si>
    <t>Verification of Hardware Sizing (On-Premise Only)</t>
  </si>
  <si>
    <t>Release/Project Schedule </t>
  </si>
  <si>
    <t>Solution Detail Document</t>
  </si>
  <si>
    <t>Master Test Plan</t>
  </si>
  <si>
    <t>Customer Test &amp; Acceptance Plan</t>
  </si>
  <si>
    <t>Build</t>
  </si>
  <si>
    <t>Installation and Configuration Guide</t>
  </si>
  <si>
    <t>System Test Plan</t>
  </si>
  <si>
    <t>System Test Specifications</t>
  </si>
  <si>
    <t>Master Test Report</t>
  </si>
  <si>
    <t>Implement</t>
  </si>
  <si>
    <t>Software Delivery</t>
  </si>
  <si>
    <t>Installation Verification</t>
  </si>
  <si>
    <t>Customer Sign-Off</t>
  </si>
  <si>
    <t>Handover to H24</t>
  </si>
  <si>
    <t>CSM Deliverables</t>
  </si>
  <si>
    <t>M Phase</t>
  </si>
  <si>
    <t>Business Requirements</t>
  </si>
  <si>
    <t>Detailed Requirements</t>
  </si>
  <si>
    <t>Plan Design</t>
  </si>
  <si>
    <t>High Level Design</t>
  </si>
  <si>
    <t>Impact Assessment</t>
  </si>
  <si>
    <t>Estimate (High Level or Impact Assesment Estimate) - must align with the quoted hours</t>
  </si>
  <si>
    <t>Detailed Design</t>
  </si>
  <si>
    <t>Component Integration Test</t>
  </si>
  <si>
    <t>Unit Test Plans</t>
  </si>
  <si>
    <t>Code Review</t>
  </si>
  <si>
    <t>SAFE (Scan Analyse File Execute)</t>
  </si>
  <si>
    <t>Deliverable Description</t>
  </si>
  <si>
    <t xml:space="preserve">Organization </t>
  </si>
  <si>
    <t>New Implementation - Services</t>
  </si>
  <si>
    <t>Upgrade - Services</t>
  </si>
  <si>
    <t>PCS / Bucket of Hours - Services</t>
  </si>
  <si>
    <t>(Accountable / Responsible)</t>
  </si>
  <si>
    <t>A document that helps the customer size required hardware environments. (Production, DR, Test, Dev). </t>
  </si>
  <si>
    <t>Customer Success</t>
  </si>
  <si>
    <t>The purpose of this deliverable is to define the scope, product parameters, milestone  timeline, risks, dependencies and deliverables of a client engagement to design, develop, test, and deploy ACI’s Licensed products.  </t>
  </si>
  <si>
    <t>The purpose of this deliverable is to identify and manage known gaps in product functionality that must be addressed to meet the client’s requirements.  It is expected that this is approved by the customer. </t>
  </si>
  <si>
    <t>Professional Services</t>
  </si>
  <si>
    <t>A combined estimate of the implementation / services effort and any development effort required for the project based on information / deliverables from the Project Definition phase.  An ACI internal deliverable that is produce based on Business Requirements (waterfall) and /or High Level User Stories (Agile).</t>
  </si>
  <si>
    <t>A legal document outlining the cost, schedule and deliverables for the project. This is a binding legal document between ACI and our customer.  The Statement of Work (SOW) is a document used to detail the work contracted for with the customer.  Includes key milestones and estimated project duration or release schedule and information about testing and deployment approaches where appropriate. </t>
  </si>
  <si>
    <t>A binding quote from ACI (that must be approved through the salesforce approval process). Documents the financials of a customer proposal to gain approval prior to the proposal going out to the customer. Includes a services estimate, all fees and services including rates.  The Quote is entered in Salesforce.com and utilizes automated approval routing to ensure visibility and approval of the quote prior to providing to the customer.  The Quote is input into the Contract.</t>
  </si>
  <si>
    <t>Sales</t>
  </si>
  <si>
    <t>The legal document detailing the ACI “deal” to the customer.  Requires authorized signatures from the customer and ACI.  The Contract is drafted by the legal department.  The legal department and account executive work with the customer to finalize the content of the contract.  Serves as the official transition from an opportunity to a customer project.</t>
  </si>
  <si>
    <t>This deliverable is designed to capture the customer’s requirements for the project / engagement and provide a high-level view of the proposed solution (product options, CSMs, third party solutions, etc) as the result of a Business Assessment Workshop.  The goal of the PRD is to provide an overall view of the customer’s requirements, at a more detailed level than the Solution Scope Document provides.  Customer Signoff is required.  </t>
  </si>
  <si>
    <t>The purpose of this deliverable is to illustrate the high-level requirement that typically comes from the requirement and scope document, and is used exclusively for Agile methodologies whereas Business Requirements is designated for Waterfall. User Story consists tasks that needed to be completed for the project requirement, and should include priority, iteration cycle, source, business/process area, stability, dependencies on other requirements, status and other useful attributes. The deliverable can be in a form of User Story created in Jira, the link should be attached under the Sub-engagement. </t>
  </si>
  <si>
    <t>A high level, release based project schedule.  This is a schedule/milestone plan.  Includes the high level tasks, releases, duration and roles required to complete the project plan based on the Estimate outcome, any existing Roadmap Dependencies, and any resource constraints (either customer or ACI). </t>
  </si>
  <si>
    <t>This deliverable is designed to detail how ACI’s products will satisfy the proposed solution (product options, CSMs, third party solutions, etc).  The Solution Detail Document is a living document that may change throughout the life cycle of the project.   Although it is expected that the document is reviewed internally and with the customer, customer signoff is no longer required.   The High Level Interface Illustration may be included in the Solution Detail Document.  </t>
  </si>
  <si>
    <t>The Master Test Plan provides the test approach for all test levels in a project, i.e. unit / component test, component integration test, system test, where applicable performance test, and customer test levels. ACI may use this document to drive the conversation with the customer regarding testing plans.  It is recommended for new solutions and when there is more than product being integrated if those products have not been tested/integrated together previously.    </t>
  </si>
  <si>
    <t>Product Development / Professional Services</t>
  </si>
  <si>
    <t>Documents the approach to functionality test the integration of the delivered solution into the customer environment as well as the approach to the customer acceptance and end user testing that is to be completed once the solution is delivered to the customer.  Provides high-level test scenarios to validate that the  business, technical and functional requirements are met.  Contains scenarios for user acceptance testing as well as operational acceptance testing. </t>
  </si>
  <si>
    <t>Customer</t>
  </si>
  <si>
    <t>In cases where product documentation don't suffice as installation guides and the solution demands customer specific configuration, an installation and configuration guide would be required so as to ensure consistent configuration across all environments, e.g. production, pre-production and SIT.</t>
  </si>
  <si>
    <t>The System Test Plan defines test scope for the System Testing activities, how the testing will be executed, and provides a high level test design.  Listed will be the required parts of the test environment and the deliverables of the testing.  The System Test Plan removes ambiguity around roles and expectations for testing within the project and is also used for communication with the customer. </t>
  </si>
  <si>
    <t>System Test Specifications provide the details required to execute the testing activities carried out by the QE Team. Test data, expected results are documented. This document gradually evolves during the project.</t>
  </si>
  <si>
    <t>The Master Test Report provides information on project scope, defect analysis, metrics (Defect Density) and conclusions and recommendations.  It includes information and testing result summaries from all testing phases. The main inputs for Master Test Report are the System Test Plan and Test Status Report. It provides reasoning for decisions made during the course of the project that contradict what has been documented in the test plan and/or the product test strategy. It also contains a section for lessons learnt to be picked up for continuous improvement of the process/good practices/toolset.</t>
  </si>
  <si>
    <t>Electronic delivery of software solution to customer. Ensures Deliveries are distributed in compliance with terms and regulations defined within the ACI/customer contract agreement and applicable software distribution standards. This is part of the Global Delivery Management process that must be followed for delivery of software to a customer. License Delivery Management Process​ (and Pre-GA information) provides a reference to a beginner as a starting point to understand the entire processes and requirements.</t>
  </si>
  <si>
    <t>Verification to ensure installation is correctly done and in a state that can be handed over to the customer or DC Ops in the case of AOD. Verification steps and expected results are listed. This includes verification of network connectivity, batch file processing, monitoring and alerts.</t>
  </si>
  <si>
    <t>Customer sign-off is to confirm the delivery and/or completion of all deliverables identified in the Statement of Work and the associated contract. This is the final signoff for the project. Email from PM to customer should list current status of project, listing of all licensed modules inclusive of dates delivered and references to any delivery supporting documentation. Sign-off from customer is required based on size of development, the threshold is 200hrs. Anything below 200hrs or mostly CSM work should be optional. Project Sign-off Expectations are outlined HERE</t>
  </si>
  <si>
    <t>This is a document that must be completed by the Project Team prior to initiating a turnover to H24 Production support. Captures the H24 transition criteria, details about installed products/components, and customer contact details to transition the knowledge to support organization.</t>
  </si>
  <si>
    <t>Organization</t>
  </si>
  <si>
    <t>Documents the high level business requirements of an identified functionality gap between the customer’s requirements and ACI’s product solution.</t>
  </si>
  <si>
    <t>n/a</t>
  </si>
  <si>
    <t>High Level Estimate </t>
  </si>
  <si>
    <t>The High Level Estimate (HLE) should include a combined estimate of services/customization, it provides an initial estimate for any identified gaps that require development. Provides the customer with a budgetary estimate that they can use to determine if they wish to proceed forward with more detailed requirements and design activities. A completed Business Requirement Document is the input into the High Level Estimate . HLE is an internal deliverable which is an input into the IAE / contracting estimate</t>
  </si>
  <si>
    <t>Documents the business requirements, functional requirements, and non-functional requirements for customer requested enhancements.</t>
  </si>
  <si>
    <t>Included in the Impact Assessment if needed.  The High Level Design is a logical representation of how the software implements the requirements and models the software architecture. Impacts to product are known based on requested change. Provides clear mapping of design element to requirements ensuring full coverage.</t>
  </si>
  <si>
    <t>Documents how the implementation of the customer’s requirements impacts the product. Determines the validation strategy and specifies the functional modules that will be tested. The Impact Assessment often contains enough detail so that an additional High Level Design is not required for CSMs. </t>
  </si>
  <si>
    <t>Impact Assessment Estimate (IAE) - contracting estimate</t>
  </si>
  <si>
    <t>The Impact Assessment also estimates the required effort, which is then documented in the Impact Assessment Estimate (25-50% accuracy).  The Impact Assessment Estimate is then included along with the Services Estimate for the overall project estimate before being presented to the customer.</t>
  </si>
  <si>
    <t>The Detailed Design (DD) is a Core representation of a software system or component of a system and is used as medium for communicating software design information. The Detailed Designs are an input to the coding activities and are important for creating the Unit test cases in the automated Unit testing framework. </t>
  </si>
  <si>
    <t>Product Development</t>
  </si>
  <si>
    <t>TRIP Review Checklist</t>
  </si>
  <si>
    <t>Technical Review of Intellectual Property is a software review process that aims to provide a risk assessment for 3rd party software used within ACI products.  TRIP applies to customer projects IF: 1) a new version of a 3rd party software is used, 2) a new 3rd party component is being used, and 3) no inappropriate or unapproved open source software is included in the development. This is currently replaced by the content in the SAFE Process Instructions.</t>
  </si>
  <si>
    <t>Security Risk Catalog</t>
  </si>
  <si>
    <t>Documents the product’s Security Risks.  If a customer specific enhancement adds additional vulnerabilities (i.e. customer decides they don’t want to use SSL in their environment where the product requires SSL), then a customer specific SRC needs to be created.</t>
  </si>
  <si>
    <t>The Component Integration Test Plan describes the testing scenarios to validate that the integration of the software components as described in the High Level Design is successful. It is in line with architectural and design aspects as identified in the product’s Architecture and/or High-Level Design documents. When the integrated software components pass integration testing, this build becomes part of the Functional Drop that is handed over to the QE Team.</t>
  </si>
  <si>
    <t>The Unit Test Plan and Results document the unit testing scenarios alongside with their results in line with the design aspects identified in the Detailed Design (DD) and represents proof that a particular software module underwent Unit Testing.</t>
  </si>
  <si>
    <t>The Code Review is a meeting where the Developer and reviewer(s) analyze the code and issues being raised. The Reviewer notes down any new issues raised/identified during the meeting. After the meeting Developer fixes all the issues identified by the reviewer as part of the code review meeting.  There is not a specific document that is required to be completed during Code Review.  As part of governance we want to indicate here that the Code Review was completed or not. </t>
  </si>
  <si>
    <t>SAFE (Scan Analyse File Execute) is a process that's used to consolidate the security scan, and Technical Review of Intellectual Property (TRIP) data in one spot to simplify the process of vulnerability analysis and identification of remediation plans. CSM Security Scanning result is collected from security related Static scans of the source code, Dynamic scans of an environment running the code, and Third Party code legal, security, and export compliance issues.  A SAFE process in JIRA audits when the scan completed and when the CSM delivered to customer. SAFE Reference Guideline is available HERE</t>
  </si>
  <si>
    <t>Region</t>
  </si>
  <si>
    <t>Asia</t>
  </si>
  <si>
    <t>Upgrade</t>
  </si>
  <si>
    <t>Pacific</t>
  </si>
  <si>
    <t>Migration</t>
  </si>
  <si>
    <t>Europe</t>
  </si>
  <si>
    <t xml:space="preserve">Services Only </t>
  </si>
  <si>
    <t>CSM Only</t>
  </si>
  <si>
    <t>Middle East</t>
  </si>
  <si>
    <t>PCS</t>
  </si>
  <si>
    <t>Africa</t>
  </si>
  <si>
    <t>S Asia</t>
  </si>
  <si>
    <t>N America</t>
  </si>
  <si>
    <t>Merchant</t>
  </si>
  <si>
    <t>SVCS-29201</t>
  </si>
  <si>
    <t>https://gojira.am.tsacorp.com/browse/SVCS-29201</t>
  </si>
  <si>
    <t>State Street - PCS</t>
  </si>
  <si>
    <t>SSB</t>
  </si>
  <si>
    <t>Oscar Herrera</t>
  </si>
  <si>
    <t xml:space="preserve"> Giberti, Andrew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</si>
</sst>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9" x14ac:knownFonts="1">
    <font>
      <sz val="11"/>
      <color theme="1"/>
      <name val="Aptos Narrow"/>
      <family val="2"/>
      <scheme val="minor"/>
    </font>
    <font>
      <b/>
      <sz val="11"/>
      <color theme="0"/>
      <name val="Aptos Narrow"/>
      <family val="2"/>
      <scheme val="minor"/>
    </font>
    <font>
      <b/>
      <sz val="11"/>
      <color theme="1"/>
      <name val="Aptos Narrow"/>
      <family val="2"/>
      <scheme val="minor"/>
    </font>
    <font>
      <sz val="11"/>
      <color rgb="FF172B4D"/>
      <name val="Segoe UI"/>
      <family val="2"/>
    </font>
    <font>
      <b/>
      <sz val="11"/>
      <color rgb="FF172B4D"/>
      <name val="Segoe UI"/>
      <family val="2"/>
    </font>
    <font>
      <b/>
      <sz val="11"/>
      <color theme="0"/>
      <name val="Segoe UI"/>
      <family val="2"/>
    </font>
    <font>
      <b/>
      <sz val="11"/>
      <name val="Segoe UI"/>
      <family val="2"/>
    </font>
    <font>
      <u/>
      <sz val="11"/>
      <color theme="10"/>
      <name val="Aptos Narrow"/>
      <family val="2"/>
      <scheme val="minor"/>
    </font>
    <font>
      <sz val="11"/>
      <color rgb="FF000000"/>
      <name val="Arial"/>
      <family val="2"/>
    </font>
  </fonts>
  <fills count="7">
    <fill>
      <patternFill patternType="none"/>
    </fill>
    <fill>
      <patternFill patternType="gray125"/>
    </fill>
    <fill>
      <patternFill patternType="solid">
        <fgColor rgb="FFFFFFFF"/>
        <bgColor indexed="64"/>
      </patternFill>
    </fill>
    <fill>
      <patternFill patternType="solid">
        <fgColor rgb="FF0070C0"/>
        <bgColor indexed="64"/>
      </patternFill>
    </fill>
    <fill>
      <patternFill patternType="solid">
        <fgColor rgb="FF00B050"/>
        <bgColor indexed="64"/>
      </patternFill>
    </fill>
    <fill>
      <patternFill patternType="solid">
        <fgColor theme="3" tint="0.749992370372631"/>
        <bgColor indexed="64"/>
      </patternFill>
    </fill>
    <fill>
      <patternFill patternType="solid">
        <fgColor theme="0" tint="-0.14999847407452621"/>
        <bgColor indexed="64"/>
      </patternFill>
    </fill>
  </fills>
  <borders count="25">
    <border>
      <left/>
      <right/>
      <top/>
      <bottom/>
      <diagonal/>
    </border>
    <border>
      <left style="medium">
        <color rgb="FFC1C7D0"/>
      </left>
      <right style="medium">
        <color rgb="FFC1C7D0"/>
      </right>
      <top style="medium">
        <color rgb="FFC1C7D0"/>
      </top>
      <bottom style="medium">
        <color rgb="FFC1C7D0"/>
      </bottom>
      <diagonal/>
    </border>
    <border>
      <left style="medium">
        <color rgb="FFC1C7D0"/>
      </left>
      <right style="medium">
        <color rgb="FFC1C7D0"/>
      </right>
      <top style="medium">
        <color rgb="FFC1C7D0"/>
      </top>
      <bottom/>
      <diagonal/>
    </border>
    <border>
      <left style="medium">
        <color rgb="FFC1C7D0"/>
      </left>
      <right style="medium">
        <color rgb="FFC1C7D0"/>
      </right>
      <top/>
      <bottom style="medium">
        <color rgb="FFC1C7D0"/>
      </bottom>
      <diagonal/>
    </border>
    <border>
      <left style="medium">
        <color rgb="FFC1C7D0"/>
      </left>
      <right style="medium">
        <color rgb="FFC1C7D0"/>
      </right>
      <top/>
      <bottom/>
      <diagonal/>
    </border>
    <border>
      <left style="thin">
        <color indexed="64"/>
      </left>
      <right style="thin">
        <color indexed="64"/>
      </right>
      <top style="thin">
        <color indexed="64"/>
      </top>
      <bottom style="thin">
        <color indexed="64"/>
      </bottom>
      <diagonal/>
    </border>
    <border>
      <left/>
      <right style="medium">
        <color rgb="FFC1C7D0"/>
      </right>
      <top/>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style="thin">
        <color theme="0" tint="-0.14996795556505021"/>
      </left>
      <right style="thin">
        <color theme="0" tint="-0.14996795556505021"/>
      </right>
      <top style="medium">
        <color theme="1" tint="0.499984740745262"/>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bottom/>
      <diagonal/>
    </border>
  </borders>
  <cellStyleXfs count="2">
    <xf numFmtId="0" fontId="0" fillId="0" borderId="0"/>
    <xf numFmtId="0" fontId="7" fillId="0" borderId="0" applyNumberFormat="0" applyFill="0" applyBorder="0" applyAlignment="0" applyProtection="0"/>
  </cellStyleXfs>
  <cellXfs count="68">
    <xf numFmtId="0" fontId="0" fillId="0" borderId="0" xfId="0"/>
    <xf numFmtId="0" fontId="4" fillId="2" borderId="2" xfId="0" applyFont="1" applyFill="1" applyBorder="1" applyAlignment="1">
      <alignment horizontal="left" vertical="top" wrapText="1" indent="1"/>
    </xf>
    <xf numFmtId="0" fontId="4" fillId="2" borderId="3" xfId="0" applyFont="1" applyFill="1" applyBorder="1" applyAlignment="1">
      <alignment horizontal="left" vertical="top" wrapText="1" indent="1"/>
    </xf>
    <xf numFmtId="0" fontId="3" fillId="2" borderId="1" xfId="0" applyFont="1" applyFill="1" applyBorder="1" applyAlignment="1">
      <alignment horizontal="left" vertical="top" wrapText="1" indent="1"/>
    </xf>
    <xf numFmtId="0" fontId="5" fillId="3" borderId="2" xfId="0" applyFont="1" applyFill="1" applyBorder="1" applyAlignment="1">
      <alignment horizontal="left" vertical="top" wrapText="1" indent="1"/>
    </xf>
    <xf numFmtId="0" fontId="5" fillId="3" borderId="3" xfId="0" applyFont="1" applyFill="1" applyBorder="1" applyAlignment="1">
      <alignment horizontal="left" vertical="top" wrapText="1" indent="1"/>
    </xf>
    <xf numFmtId="0" fontId="5" fillId="3" borderId="2" xfId="0" applyFont="1" applyFill="1" applyBorder="1" applyAlignment="1">
      <alignment vertical="top" wrapText="1"/>
    </xf>
    <xf numFmtId="0" fontId="5" fillId="3" borderId="2" xfId="0" applyFont="1" applyFill="1" applyBorder="1" applyAlignment="1">
      <alignment horizontal="center" vertical="top" wrapText="1"/>
    </xf>
    <xf numFmtId="0" fontId="6" fillId="4" borderId="4" xfId="0" applyFont="1" applyFill="1" applyBorder="1" applyAlignment="1">
      <alignment horizontal="center" vertical="top" wrapText="1"/>
    </xf>
    <xf numFmtId="0" fontId="3" fillId="2" borderId="5" xfId="0" applyFont="1" applyFill="1" applyBorder="1" applyAlignment="1">
      <alignment horizontal="left" vertical="top" wrapText="1" indent="1"/>
    </xf>
    <xf numFmtId="0" fontId="3" fillId="2" borderId="5" xfId="0" applyFont="1" applyFill="1" applyBorder="1" applyAlignment="1">
      <alignment horizontal="center" vertical="top" wrapText="1"/>
    </xf>
    <xf numFmtId="0" fontId="0" fillId="0" borderId="5" xfId="0" applyBorder="1"/>
    <xf numFmtId="0" fontId="2" fillId="5" borderId="0" xfId="0" applyFont="1" applyFill="1"/>
    <xf numFmtId="0" fontId="3" fillId="2" borderId="0" xfId="0" applyFont="1" applyFill="1" applyAlignment="1">
      <alignment horizontal="left" vertical="top" wrapText="1" indent="1"/>
    </xf>
    <xf numFmtId="0" fontId="4" fillId="2" borderId="0" xfId="0" applyFont="1" applyFill="1" applyAlignment="1">
      <alignment horizontal="center" vertical="top" wrapText="1"/>
    </xf>
    <xf numFmtId="0" fontId="6" fillId="4" borderId="6" xfId="0" applyFont="1" applyFill="1" applyBorder="1" applyAlignment="1">
      <alignment horizontal="center" vertical="top" wrapText="1"/>
    </xf>
    <xf numFmtId="0" fontId="0" fillId="0" borderId="7" xfId="0" applyBorder="1"/>
    <xf numFmtId="0" fontId="5" fillId="3" borderId="5" xfId="0" applyFont="1" applyFill="1" applyBorder="1" applyAlignment="1">
      <alignment vertical="top" wrapText="1"/>
    </xf>
    <xf numFmtId="0" fontId="5" fillId="3" borderId="5" xfId="0" applyFont="1" applyFill="1" applyBorder="1" applyAlignment="1">
      <alignment horizontal="center" vertical="top" wrapText="1"/>
    </xf>
    <xf numFmtId="0" fontId="0" fillId="6" borderId="5" xfId="0" applyFill="1" applyBorder="1"/>
    <xf numFmtId="0" fontId="0" fillId="0" borderId="0" xfId="0" applyAlignment="1">
      <alignment vertical="center"/>
    </xf>
    <xf numFmtId="0" fontId="1" fillId="3" borderId="11" xfId="0" applyFont="1" applyFill="1" applyBorder="1" applyAlignment="1">
      <alignment horizontal="left" vertical="center" wrapText="1"/>
    </xf>
    <xf numFmtId="0" fontId="1" fillId="3" borderId="5" xfId="0" applyFont="1" applyFill="1" applyBorder="1" applyAlignment="1">
      <alignment horizontal="center" vertical="center" wrapText="1"/>
    </xf>
    <xf numFmtId="0" fontId="1" fillId="3" borderId="12" xfId="0" applyFont="1" applyFill="1" applyBorder="1" applyAlignment="1">
      <alignment horizontal="center" vertical="center" wrapText="1"/>
    </xf>
    <xf numFmtId="0" fontId="0" fillId="0" borderId="0" xfId="0" applyAlignment="1">
      <alignment vertical="center" wrapText="1"/>
    </xf>
    <xf numFmtId="0" fontId="1" fillId="3" borderId="5" xfId="0" applyFont="1" applyFill="1" applyBorder="1" applyAlignment="1">
      <alignment vertical="center"/>
    </xf>
    <xf numFmtId="0" fontId="0" fillId="0" borderId="5" xfId="0" applyBorder="1" applyAlignment="1">
      <alignment vertical="center"/>
    </xf>
    <xf numFmtId="0" fontId="3" fillId="2" borderId="0" xfId="0" applyFont="1" applyFill="1" applyAlignment="1">
      <alignment horizontal="center" vertical="top" wrapText="1"/>
    </xf>
    <xf numFmtId="0" fontId="7" fillId="0" borderId="5" xfId="1" applyBorder="1" applyAlignment="1">
      <alignment vertical="center"/>
    </xf>
    <xf numFmtId="0" fontId="0" fillId="0" borderId="5" xfId="0" applyBorder="1" applyAlignment="1">
      <alignment vertical="center" wrapText="1"/>
    </xf>
    <xf numFmtId="0" fontId="3" fillId="0" borderId="1" xfId="0" applyFont="1" applyBorder="1" applyAlignment="1">
      <alignment horizontal="left" vertical="top" wrapText="1" indent="1"/>
    </xf>
    <xf numFmtId="0" fontId="8" fillId="0" borderId="22" xfId="0" applyFont="1" applyBorder="1" applyAlignment="1">
      <alignment horizontal="center" vertical="center" wrapText="1"/>
    </xf>
    <xf numFmtId="0" fontId="8" fillId="0" borderId="23" xfId="0" applyFont="1" applyBorder="1" applyAlignment="1">
      <alignment horizontal="center" vertical="center" wrapText="1"/>
    </xf>
    <xf numFmtId="0" fontId="8" fillId="0" borderId="24" xfId="0" applyFont="1" applyBorder="1" applyAlignment="1">
      <alignment horizontal="center" vertical="center" wrapText="1"/>
    </xf>
    <xf numFmtId="0" fontId="7" fillId="0" borderId="0" xfId="1"/>
    <xf numFmtId="0" fontId="3" fillId="0" borderId="0" xfId="0" applyFont="1" applyAlignment="1">
      <alignment horizontal="left" vertical="center" wrapText="1"/>
    </xf>
    <xf numFmtId="0" fontId="3" fillId="0" borderId="0" xfId="0" applyFont="1" applyAlignment="1">
      <alignment horizontal="left" vertical="center" wrapText="1" indent="1"/>
    </xf>
    <xf numFmtId="0" fontId="2" fillId="5" borderId="0" xfId="0" applyFont="1" applyFill="1" applyAlignment="1">
      <alignment vertical="center"/>
    </xf>
    <xf numFmtId="0" fontId="0" fillId="0" borderId="11" xfId="0" applyBorder="1" applyAlignment="1">
      <alignment vertical="center"/>
    </xf>
    <xf numFmtId="0" fontId="0" fillId="0" borderId="12" xfId="0" applyBorder="1" applyAlignment="1">
      <alignment vertical="center"/>
    </xf>
    <xf numFmtId="0" fontId="0" fillId="0" borderId="16" xfId="0" applyBorder="1" applyAlignment="1">
      <alignment vertical="center"/>
    </xf>
    <xf numFmtId="0" fontId="0" fillId="0" borderId="17" xfId="0" applyBorder="1" applyAlignment="1">
      <alignment vertical="center"/>
    </xf>
    <xf numFmtId="0" fontId="0" fillId="0" borderId="18" xfId="0" applyBorder="1" applyAlignment="1">
      <alignment vertical="center"/>
    </xf>
    <xf numFmtId="0" fontId="0" fillId="0" borderId="13" xfId="0" applyBorder="1" applyAlignment="1">
      <alignment vertical="center" wrapText="1"/>
    </xf>
    <xf numFmtId="0" fontId="0" fillId="0" borderId="14" xfId="0" applyBorder="1" applyAlignment="1">
      <alignment vertical="center"/>
    </xf>
    <xf numFmtId="0" fontId="0" fillId="0" borderId="15" xfId="0" applyBorder="1" applyAlignment="1">
      <alignment vertical="center"/>
    </xf>
    <xf numFmtId="0" fontId="0" fillId="0" borderId="19" xfId="0" applyBorder="1" applyAlignment="1">
      <alignment vertical="center"/>
    </xf>
    <xf numFmtId="0" fontId="0" fillId="0" borderId="13"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0" fillId="0" borderId="5" xfId="0" applyBorder="1" applyAlignment="1">
      <alignment horizontal="center" vertical="center"/>
    </xf>
    <xf numFmtId="0" fontId="0" fillId="0" borderId="17" xfId="0" applyBorder="1" applyAlignment="1">
      <alignment horizontal="center" vertical="center"/>
    </xf>
    <xf numFmtId="0" fontId="0" fillId="0" borderId="14" xfId="0" applyBorder="1" applyAlignment="1">
      <alignment horizontal="center" vertical="center"/>
    </xf>
    <xf numFmtId="15" fontId="2" fillId="5" borderId="0" xfId="0" applyNumberFormat="1" applyFont="1" applyFill="1" applyAlignment="1">
      <alignment vertical="center"/>
    </xf>
    <xf numFmtId="164" fontId="0" fillId="0" borderId="5" xfId="0" applyNumberFormat="1" applyBorder="1" applyAlignment="1">
      <alignment vertical="center"/>
    </xf>
    <xf numFmtId="164" fontId="0" fillId="0" borderId="14" xfId="0" applyNumberFormat="1" applyBorder="1" applyAlignment="1">
      <alignment vertical="center"/>
    </xf>
    <xf numFmtId="0" fontId="0" fillId="0" borderId="5" xfId="0" applyBorder="1" applyAlignment="1">
      <alignment horizontal="justify" vertical="justify" wrapText="1"/>
    </xf>
    <xf numFmtId="0" fontId="0" fillId="0" borderId="5" xfId="0" applyBorder="1" applyAlignment="1">
      <alignment horizontal="justify" vertical="justify"/>
    </xf>
    <xf numFmtId="0" fontId="1" fillId="3" borderId="5" xfId="0" applyFont="1" applyFill="1" applyBorder="1" applyAlignment="1">
      <alignment horizontal="center" vertical="center"/>
    </xf>
    <xf numFmtId="0" fontId="1" fillId="3" borderId="8" xfId="0" applyFont="1" applyFill="1" applyBorder="1" applyAlignment="1">
      <alignment horizontal="center" vertical="center"/>
    </xf>
    <xf numFmtId="0" fontId="1" fillId="3" borderId="9" xfId="0" applyFont="1" applyFill="1" applyBorder="1" applyAlignment="1">
      <alignment horizontal="center" vertical="center"/>
    </xf>
    <xf numFmtId="0" fontId="1" fillId="3" borderId="10" xfId="0" applyFont="1" applyFill="1" applyBorder="1" applyAlignment="1">
      <alignment horizontal="center" vertical="center"/>
    </xf>
    <xf numFmtId="0" fontId="1" fillId="3" borderId="8" xfId="0" applyFont="1" applyFill="1" applyBorder="1" applyAlignment="1">
      <alignment horizontal="center" vertical="center" wrapText="1"/>
    </xf>
    <xf numFmtId="0" fontId="2" fillId="5" borderId="0" xfId="0" applyFont="1" applyFill="1" applyAlignment="1">
      <alignment horizontal="left" vertical="center"/>
    </xf>
    <xf numFmtId="0" fontId="5" fillId="3" borderId="2" xfId="0" applyFont="1" applyFill="1" applyBorder="1" applyAlignment="1">
      <alignment horizontal="left" vertical="top" wrapText="1" indent="1"/>
    </xf>
    <xf numFmtId="0" fontId="5" fillId="3" borderId="3" xfId="0" applyFont="1" applyFill="1" applyBorder="1" applyAlignment="1">
      <alignment horizontal="left" vertical="top" wrapText="1" indent="1"/>
    </xf>
    <xf numFmtId="0" fontId="4" fillId="2" borderId="2" xfId="0" applyFont="1" applyFill="1" applyBorder="1" applyAlignment="1">
      <alignment horizontal="left" vertical="top" wrapText="1" indent="1"/>
    </xf>
    <xf numFmtId="0" fontId="4" fillId="2" borderId="3" xfId="0" applyFont="1" applyFill="1" applyBorder="1" applyAlignment="1">
      <alignment horizontal="left" vertical="top" wrapText="1" inden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isextnsn/proj/SVB-Project%20Implementation" TargetMode="External"/><Relationship Id="rId1" Type="http://schemas.openxmlformats.org/officeDocument/2006/relationships/hyperlink" Target="https://gojira.am.tsacorp.com/browse/SVCS-2920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aciworldwide.lightning.force.com/lightning/r/Opportunity/0064u000015OP1TAAW/view"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confluence.am.tsacorp.com/display/SVCS/%28Not+Needed%29+-+Duplicated+-+Project+Sign-off+Expectations" TargetMode="External"/><Relationship Id="rId2" Type="http://schemas.openxmlformats.org/officeDocument/2006/relationships/hyperlink" Target="https://confluence.am.tsacorp.com/pages/viewpage.action?pageId=353960112" TargetMode="External"/><Relationship Id="rId1" Type="http://schemas.openxmlformats.org/officeDocument/2006/relationships/hyperlink" Target="http://salesforce.com/" TargetMode="External"/><Relationship Id="rId5" Type="http://schemas.openxmlformats.org/officeDocument/2006/relationships/hyperlink" Target="https://confluence.am.tsacorp.com/display/SVCS/SAFE+Reference+Guideline" TargetMode="External"/><Relationship Id="rId4" Type="http://schemas.openxmlformats.org/officeDocument/2006/relationships/hyperlink" Target="https://wiki.aciworldwide.com/display/VTRT/SAFE+Process+Instruction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67AFD-48B5-4D73-A2C8-8BC3B8E98BBC}">
  <dimension ref="A2:D34"/>
  <sheetViews>
    <sheetView tabSelected="1" workbookViewId="0">
      <selection activeCell="C6" sqref="C6"/>
    </sheetView>
  </sheetViews>
  <sheetFormatPr defaultRowHeight="15" x14ac:dyDescent="0.25"/>
  <cols>
    <col min="1" max="1" width="32.5703125" customWidth="1"/>
    <col min="2" max="2" width="86.140625" bestFit="1" customWidth="1"/>
  </cols>
  <sheetData>
    <row r="2" spans="1:4" s="20" customFormat="1" ht="22.5" customHeight="1" x14ac:dyDescent="0.25">
      <c r="A2" s="25" t="s">
        <v>0</v>
      </c>
      <c r="B2" s="34" t="s">
        <v>180</v>
      </c>
    </row>
    <row r="3" spans="1:4" s="20" customFormat="1" ht="22.5" customHeight="1" x14ac:dyDescent="0.25">
      <c r="A3" s="25" t="s">
        <v>1</v>
      </c>
      <c r="B3" s="29" t="s">
        <v>181</v>
      </c>
      <c r="D3" s="20" t="s">
        <v>179</v>
      </c>
    </row>
    <row r="4" spans="1:4" s="20" customFormat="1" ht="22.5" customHeight="1" x14ac:dyDescent="0.25">
      <c r="A4" s="25" t="s">
        <v>2</v>
      </c>
      <c r="B4" s="26" t="s">
        <v>182</v>
      </c>
    </row>
    <row r="5" spans="1:4" s="20" customFormat="1" ht="22.5" customHeight="1" x14ac:dyDescent="0.25">
      <c r="A5" s="25" t="s">
        <v>3</v>
      </c>
      <c r="B5" s="26" t="s">
        <v>174</v>
      </c>
    </row>
    <row r="6" spans="1:4" s="20" customFormat="1" ht="22.5" customHeight="1" x14ac:dyDescent="0.25">
      <c r="A6" s="25" t="s">
        <v>5</v>
      </c>
      <c r="B6" s="26" t="s">
        <v>6</v>
      </c>
    </row>
    <row r="7" spans="1:4" s="20" customFormat="1" ht="22.5" customHeight="1" x14ac:dyDescent="0.25">
      <c r="A7" s="25" t="s">
        <v>7</v>
      </c>
      <c r="B7" s="26" t="s">
        <v>8</v>
      </c>
    </row>
    <row r="8" spans="1:4" s="20" customFormat="1" ht="22.5" customHeight="1" x14ac:dyDescent="0.25">
      <c r="A8" s="25" t="s">
        <v>9</v>
      </c>
      <c r="B8" s="34" t="s">
        <v>10</v>
      </c>
    </row>
    <row r="9" spans="1:4" s="20" customFormat="1" ht="22.5" customHeight="1" x14ac:dyDescent="0.25">
      <c r="A9" s="25" t="s">
        <v>11</v>
      </c>
      <c r="B9" s="26" t="s">
        <v>12</v>
      </c>
    </row>
    <row r="10" spans="1:4" s="20" customFormat="1" ht="22.5" customHeight="1" x14ac:dyDescent="0.25">
      <c r="A10" s="25" t="s">
        <v>13</v>
      </c>
      <c r="B10" s="26" t="s">
        <v>183</v>
      </c>
    </row>
    <row r="11" spans="1:4" s="20" customFormat="1" ht="22.5" customHeight="1" x14ac:dyDescent="0.25">
      <c r="A11" s="25" t="s">
        <v>14</v>
      </c>
      <c r="B11" s="26"/>
    </row>
    <row r="12" spans="1:4" s="20" customFormat="1" ht="22.5" customHeight="1" x14ac:dyDescent="0.25">
      <c r="A12" s="25" t="s">
        <v>15</v>
      </c>
      <c r="B12" s="26" t="s">
        <v>184</v>
      </c>
    </row>
    <row r="13" spans="1:4" s="20" customFormat="1" ht="22.5" customHeight="1" x14ac:dyDescent="0.25">
      <c r="A13" s="25" t="s">
        <v>16</v>
      </c>
      <c r="B13" s="26"/>
    </row>
    <row r="17" spans="1:2" ht="18.75" customHeight="1" x14ac:dyDescent="0.25">
      <c r="A17" s="58" t="s">
        <v>17</v>
      </c>
      <c r="B17" s="56" t="s">
        <v>18</v>
      </c>
    </row>
    <row r="18" spans="1:2" ht="18.75" customHeight="1" x14ac:dyDescent="0.25">
      <c r="A18" s="58"/>
      <c r="B18" s="57"/>
    </row>
    <row r="19" spans="1:2" ht="18.75" customHeight="1" x14ac:dyDescent="0.25">
      <c r="A19" s="58"/>
      <c r="B19" s="57"/>
    </row>
    <row r="20" spans="1:2" ht="18.75" customHeight="1" x14ac:dyDescent="0.25">
      <c r="A20" s="58"/>
      <c r="B20" s="57"/>
    </row>
    <row r="21" spans="1:2" ht="18.75" customHeight="1" x14ac:dyDescent="0.25">
      <c r="A21" s="58"/>
      <c r="B21" s="57"/>
    </row>
    <row r="22" spans="1:2" ht="18.75" customHeight="1" x14ac:dyDescent="0.25">
      <c r="A22" s="58"/>
      <c r="B22" s="57"/>
    </row>
    <row r="23" spans="1:2" ht="18.75" customHeight="1" x14ac:dyDescent="0.25">
      <c r="A23" s="58"/>
      <c r="B23" s="57"/>
    </row>
    <row r="24" spans="1:2" ht="18.75" customHeight="1" x14ac:dyDescent="0.25">
      <c r="A24" s="58"/>
      <c r="B24" s="57"/>
    </row>
    <row r="25" spans="1:2" ht="18.75" customHeight="1" x14ac:dyDescent="0.25">
      <c r="A25" s="58"/>
      <c r="B25" s="57"/>
    </row>
    <row r="28" spans="1:2" ht="16.5" x14ac:dyDescent="0.25">
      <c r="B28" s="35"/>
    </row>
    <row r="29" spans="1:2" ht="16.5" x14ac:dyDescent="0.25">
      <c r="B29" s="35"/>
    </row>
    <row r="30" spans="1:2" ht="16.5" x14ac:dyDescent="0.25">
      <c r="B30" s="36"/>
    </row>
    <row r="31" spans="1:2" ht="16.5" x14ac:dyDescent="0.25">
      <c r="B31" s="36"/>
    </row>
    <row r="32" spans="1:2" ht="16.5" x14ac:dyDescent="0.25">
      <c r="B32" s="36"/>
    </row>
    <row r="33" spans="2:2" ht="16.5" x14ac:dyDescent="0.25">
      <c r="B33" s="36"/>
    </row>
    <row r="34" spans="2:2" ht="16.5" x14ac:dyDescent="0.25">
      <c r="B34" s="36"/>
    </row>
  </sheetData>
  <mergeCells count="2">
    <mergeCell ref="B17:B25"/>
    <mergeCell ref="A17:A25"/>
  </mergeCells>
  <hyperlinks>
    <hyperlink ref="B2" r:id="rId1" xr:uid="{88FDF2DC-C63A-4FAB-9230-60749DF921AD}"/>
    <hyperlink ref="B8" r:id="rId2" tooltip="Follow link" display="../../../../../isextnsn/proj/SVB-Project Implementation" xr:uid="{99C9DB5B-42BD-4929-87FA-A1BA80797A7E}"/>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4EE05CA1-02BA-4EA1-A201-25D95A233FBA}">
          <x14:formula1>
            <xm:f>Sheet4!$B:$B</xm:f>
          </x14:formula1>
          <xm:sqref>B5</xm:sqref>
        </x14:dataValidation>
        <x14:dataValidation type="list" allowBlank="1" showInputMessage="1" showErrorMessage="1" xr:uid="{26D9C379-8CE6-42CB-90CC-02C6E9DD575F}">
          <x14:formula1>
            <xm:f>Sheet4!$E:$E</xm:f>
          </x14:formula1>
          <xm:sqref>B9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BF92C-2AFD-41BF-BDEE-2C64E1E09298}">
  <dimension ref="A2:F43"/>
  <sheetViews>
    <sheetView zoomScale="175" zoomScaleNormal="175" workbookViewId="0">
      <pane xSplit="1" ySplit="3" topLeftCell="B4" activePane="bottomRight" state="frozen"/>
      <selection pane="topRight" activeCell="B1" sqref="B1"/>
      <selection pane="bottomLeft" activeCell="A4" sqref="A4"/>
      <selection pane="bottomRight" activeCell="A2" sqref="A2"/>
    </sheetView>
  </sheetViews>
  <sheetFormatPr defaultRowHeight="15" x14ac:dyDescent="0.25"/>
  <cols>
    <col min="1" max="1" width="44.140625" style="20" customWidth="1"/>
    <col min="2" max="5" width="23.140625" style="20" customWidth="1"/>
    <col min="6" max="6" width="63" style="20" customWidth="1"/>
    <col min="7" max="16384" width="9.140625" style="20"/>
  </cols>
  <sheetData>
    <row r="2" spans="1:6" x14ac:dyDescent="0.25">
      <c r="A2" s="37" t="s">
        <v>0</v>
      </c>
      <c r="B2" s="63" t="str">
        <f>'Project Info'!B2</f>
        <v>https://gojira.am.tsacorp.com/browse/SVCS-29201</v>
      </c>
      <c r="C2" s="63"/>
      <c r="D2" s="63"/>
      <c r="E2" s="63"/>
      <c r="F2" s="63"/>
    </row>
    <row r="3" spans="1:6" x14ac:dyDescent="0.25">
      <c r="A3" s="37" t="s">
        <v>19</v>
      </c>
      <c r="B3" s="53">
        <v>45799</v>
      </c>
    </row>
    <row r="5" spans="1:6" ht="15.75" thickBot="1" x14ac:dyDescent="0.3"/>
    <row r="6" spans="1:6" ht="32.1" customHeight="1" x14ac:dyDescent="0.25">
      <c r="A6" s="59" t="s">
        <v>20</v>
      </c>
      <c r="B6" s="60"/>
      <c r="C6" s="60"/>
      <c r="D6" s="60"/>
      <c r="E6" s="60"/>
      <c r="F6" s="61"/>
    </row>
    <row r="7" spans="1:6" s="24" customFormat="1" ht="30" x14ac:dyDescent="0.25">
      <c r="A7" s="21" t="s">
        <v>21</v>
      </c>
      <c r="B7" s="22" t="s">
        <v>22</v>
      </c>
      <c r="C7" s="22" t="s">
        <v>23</v>
      </c>
      <c r="D7" s="23" t="s">
        <v>24</v>
      </c>
      <c r="E7" s="23" t="s">
        <v>25</v>
      </c>
      <c r="F7" s="23" t="s">
        <v>26</v>
      </c>
    </row>
    <row r="8" spans="1:6" x14ac:dyDescent="0.25">
      <c r="A8" s="38" t="s">
        <v>27</v>
      </c>
      <c r="B8" s="26" t="s">
        <v>8</v>
      </c>
      <c r="C8" s="50" t="s">
        <v>28</v>
      </c>
      <c r="D8" s="39"/>
      <c r="E8" s="39"/>
      <c r="F8" s="39"/>
    </row>
    <row r="9" spans="1:6" x14ac:dyDescent="0.25">
      <c r="A9" s="38" t="s">
        <v>29</v>
      </c>
      <c r="B9" s="26" t="s">
        <v>8</v>
      </c>
      <c r="C9" s="50" t="s">
        <v>28</v>
      </c>
      <c r="D9" s="39"/>
      <c r="E9" s="39"/>
      <c r="F9" s="39"/>
    </row>
    <row r="10" spans="1:6" x14ac:dyDescent="0.25">
      <c r="A10" s="38" t="s">
        <v>30</v>
      </c>
      <c r="B10" s="26" t="s">
        <v>8</v>
      </c>
      <c r="C10" s="50" t="s">
        <v>28</v>
      </c>
      <c r="D10" s="39"/>
      <c r="E10" s="39"/>
      <c r="F10" s="39"/>
    </row>
    <row r="11" spans="1:6" x14ac:dyDescent="0.25">
      <c r="A11" s="40" t="s">
        <v>31</v>
      </c>
      <c r="B11" s="41" t="s">
        <v>8</v>
      </c>
      <c r="C11" s="51" t="s">
        <v>28</v>
      </c>
      <c r="D11" s="42"/>
      <c r="E11" s="42"/>
      <c r="F11" s="42"/>
    </row>
    <row r="12" spans="1:6" ht="15.75" thickBot="1" x14ac:dyDescent="0.3">
      <c r="A12" s="43" t="s">
        <v>32</v>
      </c>
      <c r="B12" s="44" t="s">
        <v>8</v>
      </c>
      <c r="C12" s="52" t="s">
        <v>28</v>
      </c>
      <c r="D12" s="45"/>
      <c r="E12" s="45"/>
      <c r="F12" s="45"/>
    </row>
    <row r="14" spans="1:6" ht="15.75" thickBot="1" x14ac:dyDescent="0.3"/>
    <row r="15" spans="1:6" ht="32.1" customHeight="1" x14ac:dyDescent="0.25">
      <c r="A15" s="59" t="s">
        <v>33</v>
      </c>
      <c r="B15" s="60"/>
      <c r="C15" s="60"/>
      <c r="D15" s="60"/>
      <c r="E15" s="60"/>
      <c r="F15" s="61"/>
    </row>
    <row r="16" spans="1:6" ht="30" x14ac:dyDescent="0.25">
      <c r="A16" s="21" t="s">
        <v>21</v>
      </c>
      <c r="B16" s="22" t="s">
        <v>22</v>
      </c>
      <c r="C16" s="22" t="s">
        <v>34</v>
      </c>
      <c r="D16" s="22" t="s">
        <v>35</v>
      </c>
      <c r="E16" s="23" t="s">
        <v>25</v>
      </c>
      <c r="F16" s="23" t="s">
        <v>26</v>
      </c>
    </row>
    <row r="17" spans="1:6" x14ac:dyDescent="0.25">
      <c r="A17" s="38" t="s">
        <v>36</v>
      </c>
      <c r="B17" s="26"/>
      <c r="C17" s="26"/>
      <c r="D17" s="26"/>
      <c r="E17" s="46"/>
      <c r="F17" s="39"/>
    </row>
    <row r="18" spans="1:6" x14ac:dyDescent="0.25">
      <c r="A18" s="38" t="s">
        <v>37</v>
      </c>
      <c r="B18" s="26"/>
      <c r="C18" s="26"/>
      <c r="D18" s="26"/>
      <c r="E18" s="46"/>
      <c r="F18" s="39"/>
    </row>
    <row r="19" spans="1:6" x14ac:dyDescent="0.25">
      <c r="A19" s="38" t="s">
        <v>38</v>
      </c>
      <c r="B19" s="54">
        <v>46474</v>
      </c>
      <c r="C19" s="50" t="s">
        <v>28</v>
      </c>
      <c r="D19" s="26"/>
      <c r="E19" s="46"/>
      <c r="F19" s="39"/>
    </row>
    <row r="20" spans="1:6" ht="15.75" thickBot="1" x14ac:dyDescent="0.3">
      <c r="A20" s="47" t="s">
        <v>39</v>
      </c>
      <c r="B20" s="55">
        <v>45793</v>
      </c>
      <c r="C20" s="52" t="s">
        <v>28</v>
      </c>
      <c r="D20" s="44"/>
      <c r="E20" s="48"/>
      <c r="F20" s="45"/>
    </row>
    <row r="22" spans="1:6" ht="15.75" thickBot="1" x14ac:dyDescent="0.3"/>
    <row r="23" spans="1:6" ht="32.1" customHeight="1" x14ac:dyDescent="0.25">
      <c r="A23" s="62" t="s">
        <v>40</v>
      </c>
      <c r="B23" s="60"/>
      <c r="C23" s="60"/>
      <c r="D23" s="60"/>
      <c r="E23" s="60"/>
      <c r="F23" s="61"/>
    </row>
    <row r="24" spans="1:6" ht="30" x14ac:dyDescent="0.25">
      <c r="A24" s="21" t="s">
        <v>21</v>
      </c>
      <c r="B24" s="22" t="s">
        <v>22</v>
      </c>
      <c r="C24" s="22" t="s">
        <v>41</v>
      </c>
      <c r="D24" s="22" t="s">
        <v>35</v>
      </c>
      <c r="E24" s="23" t="s">
        <v>25</v>
      </c>
      <c r="F24" s="23" t="s">
        <v>26</v>
      </c>
    </row>
    <row r="25" spans="1:6" x14ac:dyDescent="0.25">
      <c r="A25" s="38" t="s">
        <v>42</v>
      </c>
      <c r="B25" s="28" t="s">
        <v>43</v>
      </c>
      <c r="C25" s="50" t="s">
        <v>28</v>
      </c>
      <c r="D25" s="26"/>
      <c r="E25" s="46"/>
      <c r="F25" s="39"/>
    </row>
    <row r="26" spans="1:6" x14ac:dyDescent="0.25">
      <c r="A26" s="38" t="s">
        <v>44</v>
      </c>
      <c r="B26" s="26">
        <v>120433</v>
      </c>
      <c r="C26" s="50" t="s">
        <v>28</v>
      </c>
      <c r="D26" s="26"/>
      <c r="E26" s="46"/>
      <c r="F26" s="39"/>
    </row>
    <row r="27" spans="1:6" x14ac:dyDescent="0.25">
      <c r="A27" s="38" t="s">
        <v>45</v>
      </c>
      <c r="B27" s="26"/>
      <c r="C27" s="50"/>
      <c r="D27" s="26"/>
      <c r="E27" s="46"/>
      <c r="F27" s="39"/>
    </row>
    <row r="28" spans="1:6" x14ac:dyDescent="0.25">
      <c r="A28" s="38" t="s">
        <v>46</v>
      </c>
      <c r="B28" s="26"/>
      <c r="C28" s="50"/>
      <c r="D28" s="26"/>
      <c r="E28" s="46"/>
      <c r="F28" s="39"/>
    </row>
    <row r="29" spans="1:6" x14ac:dyDescent="0.25">
      <c r="A29" s="40" t="s">
        <v>47</v>
      </c>
      <c r="B29" s="41">
        <v>9800</v>
      </c>
      <c r="C29" s="50" t="s">
        <v>28</v>
      </c>
      <c r="D29" s="41"/>
      <c r="E29" s="49"/>
      <c r="F29" s="42"/>
    </row>
    <row r="30" spans="1:6" x14ac:dyDescent="0.25">
      <c r="A30" s="40" t="s">
        <v>48</v>
      </c>
      <c r="B30" s="41">
        <f>+B29*120</f>
        <v>1176000</v>
      </c>
      <c r="C30" s="50" t="s">
        <v>28</v>
      </c>
      <c r="D30" s="41"/>
      <c r="E30" s="49"/>
      <c r="F30" s="42"/>
    </row>
    <row r="31" spans="1:6" ht="15.75" thickBot="1" x14ac:dyDescent="0.3">
      <c r="A31" s="47"/>
      <c r="B31" s="44"/>
      <c r="C31" s="44"/>
      <c r="D31" s="44"/>
      <c r="E31" s="48"/>
      <c r="F31" s="45"/>
    </row>
    <row r="33" spans="1:6" ht="15.75" thickBot="1" x14ac:dyDescent="0.3"/>
    <row r="34" spans="1:6" ht="32.1" customHeight="1" x14ac:dyDescent="0.25">
      <c r="A34" s="62" t="s">
        <v>49</v>
      </c>
      <c r="B34" s="60"/>
      <c r="C34" s="60"/>
      <c r="D34" s="60"/>
      <c r="E34" s="60"/>
      <c r="F34" s="61"/>
    </row>
    <row r="35" spans="1:6" ht="30" x14ac:dyDescent="0.25">
      <c r="A35" s="21" t="s">
        <v>21</v>
      </c>
      <c r="B35" s="22" t="s">
        <v>22</v>
      </c>
      <c r="C35" s="22" t="s">
        <v>41</v>
      </c>
      <c r="D35" s="22" t="s">
        <v>35</v>
      </c>
      <c r="E35" s="23" t="s">
        <v>25</v>
      </c>
      <c r="F35" s="23" t="s">
        <v>26</v>
      </c>
    </row>
    <row r="36" spans="1:6" x14ac:dyDescent="0.25">
      <c r="A36" s="38" t="s">
        <v>50</v>
      </c>
      <c r="B36" s="26" t="s">
        <v>51</v>
      </c>
      <c r="C36" s="50" t="s">
        <v>28</v>
      </c>
      <c r="D36" s="26"/>
      <c r="E36" s="46"/>
      <c r="F36" s="39"/>
    </row>
    <row r="37" spans="1:6" ht="45" x14ac:dyDescent="0.25">
      <c r="A37" s="38" t="s">
        <v>52</v>
      </c>
      <c r="B37" s="29" t="s">
        <v>53</v>
      </c>
      <c r="C37" s="50" t="s">
        <v>28</v>
      </c>
      <c r="D37" s="26"/>
      <c r="E37" s="46"/>
      <c r="F37" s="39"/>
    </row>
    <row r="38" spans="1:6" x14ac:dyDescent="0.25">
      <c r="A38" s="38" t="s">
        <v>54</v>
      </c>
      <c r="B38" s="26" t="s">
        <v>55</v>
      </c>
      <c r="C38" s="50" t="s">
        <v>28</v>
      </c>
      <c r="D38" s="26"/>
      <c r="E38" s="46"/>
      <c r="F38" s="39"/>
    </row>
    <row r="39" spans="1:6" x14ac:dyDescent="0.25">
      <c r="A39" s="38" t="s">
        <v>56</v>
      </c>
      <c r="B39" s="26"/>
      <c r="C39" s="50"/>
      <c r="D39" s="26"/>
      <c r="E39" s="46"/>
      <c r="F39" s="39"/>
    </row>
    <row r="40" spans="1:6" x14ac:dyDescent="0.25">
      <c r="A40" s="38" t="s">
        <v>57</v>
      </c>
      <c r="B40" s="50" t="s">
        <v>58</v>
      </c>
      <c r="C40" s="50" t="s">
        <v>28</v>
      </c>
      <c r="D40" s="26"/>
      <c r="E40" s="46"/>
      <c r="F40" s="39"/>
    </row>
    <row r="41" spans="1:6" x14ac:dyDescent="0.25">
      <c r="A41" s="40" t="s">
        <v>59</v>
      </c>
      <c r="B41" s="51" t="s">
        <v>28</v>
      </c>
      <c r="C41" s="51" t="s">
        <v>28</v>
      </c>
      <c r="D41" s="41"/>
      <c r="E41" s="49"/>
      <c r="F41" s="42"/>
    </row>
    <row r="42" spans="1:6" x14ac:dyDescent="0.25">
      <c r="A42" s="40" t="s">
        <v>60</v>
      </c>
      <c r="B42" s="51" t="s">
        <v>61</v>
      </c>
      <c r="C42" s="51" t="s">
        <v>61</v>
      </c>
      <c r="D42" s="41" t="s">
        <v>50</v>
      </c>
      <c r="E42" s="49"/>
      <c r="F42" s="42"/>
    </row>
    <row r="43" spans="1:6" ht="15.75" thickBot="1" x14ac:dyDescent="0.3">
      <c r="A43" s="47"/>
      <c r="B43" s="44"/>
      <c r="C43" s="52"/>
      <c r="D43" s="44"/>
      <c r="E43" s="48"/>
      <c r="F43" s="45"/>
    </row>
  </sheetData>
  <mergeCells count="5">
    <mergeCell ref="A6:F6"/>
    <mergeCell ref="A15:F15"/>
    <mergeCell ref="A23:F23"/>
    <mergeCell ref="A34:F34"/>
    <mergeCell ref="B2:F2"/>
  </mergeCells>
  <hyperlinks>
    <hyperlink ref="B25" r:id="rId1" xr:uid="{E439E45D-6E20-4AB2-8E8F-920D55F570E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A1F8C-41AF-486C-92C4-76F88902435A}">
  <sheetPr filterMode="1"/>
  <dimension ref="A1:K39"/>
  <sheetViews>
    <sheetView zoomScale="81" workbookViewId="0">
      <selection activeCell="B10" sqref="B10"/>
    </sheetView>
  </sheetViews>
  <sheetFormatPr defaultRowHeight="15" x14ac:dyDescent="0.25"/>
  <cols>
    <col min="1" max="1" width="19.5703125" customWidth="1"/>
    <col min="2" max="2" width="52" customWidth="1"/>
    <col min="3" max="4" width="20.42578125" hidden="1" customWidth="1"/>
    <col min="5" max="6" width="20.42578125" customWidth="1"/>
    <col min="7" max="7" width="16.7109375" customWidth="1"/>
    <col min="8" max="8" width="18.7109375" customWidth="1"/>
    <col min="9" max="9" width="15" customWidth="1"/>
    <col min="10" max="10" width="24.85546875" customWidth="1"/>
    <col min="11" max="11" width="41.7109375" customWidth="1"/>
  </cols>
  <sheetData>
    <row r="1" spans="1:11" x14ac:dyDescent="0.25">
      <c r="A1" s="12" t="s">
        <v>62</v>
      </c>
      <c r="B1" s="12" t="str">
        <f>'Project Info'!B5</f>
        <v>PCS</v>
      </c>
    </row>
    <row r="2" spans="1:11" ht="15.75" thickBot="1" x14ac:dyDescent="0.3"/>
    <row r="3" spans="1:11" ht="49.5" x14ac:dyDescent="0.25">
      <c r="A3" s="6" t="s">
        <v>63</v>
      </c>
      <c r="B3" s="6" t="s">
        <v>64</v>
      </c>
      <c r="C3" s="7" t="s">
        <v>4</v>
      </c>
      <c r="D3" s="7" t="s">
        <v>65</v>
      </c>
      <c r="E3" s="7" t="s">
        <v>66</v>
      </c>
      <c r="F3" s="7" t="s">
        <v>67</v>
      </c>
      <c r="G3" s="8" t="s">
        <v>68</v>
      </c>
      <c r="H3" s="8" t="s">
        <v>69</v>
      </c>
      <c r="I3" s="8" t="s">
        <v>70</v>
      </c>
      <c r="J3" s="8" t="s">
        <v>71</v>
      </c>
      <c r="K3" s="8" t="s">
        <v>72</v>
      </c>
    </row>
    <row r="4" spans="1:11" ht="16.5" hidden="1" x14ac:dyDescent="0.25">
      <c r="A4" s="9" t="s">
        <v>51</v>
      </c>
      <c r="B4" s="9" t="s">
        <v>73</v>
      </c>
      <c r="C4" s="10" t="s">
        <v>74</v>
      </c>
      <c r="D4" s="10" t="s">
        <v>74</v>
      </c>
      <c r="E4" s="10" t="s">
        <v>75</v>
      </c>
      <c r="F4" s="10" t="s">
        <v>75</v>
      </c>
      <c r="G4" s="11"/>
      <c r="H4" s="11"/>
      <c r="I4" s="11"/>
      <c r="J4" s="11"/>
      <c r="K4" s="11"/>
    </row>
    <row r="5" spans="1:11" ht="16.5" hidden="1" x14ac:dyDescent="0.25">
      <c r="A5" s="9" t="s">
        <v>51</v>
      </c>
      <c r="B5" s="9" t="s">
        <v>76</v>
      </c>
      <c r="C5" s="10" t="s">
        <v>74</v>
      </c>
      <c r="D5" s="10" t="s">
        <v>74</v>
      </c>
      <c r="E5" s="10" t="s">
        <v>75</v>
      </c>
      <c r="F5" s="10" t="s">
        <v>75</v>
      </c>
      <c r="G5" s="11"/>
      <c r="H5" s="11"/>
      <c r="I5" s="11"/>
      <c r="J5" s="11"/>
      <c r="K5" s="11"/>
    </row>
    <row r="6" spans="1:11" ht="16.5" hidden="1" x14ac:dyDescent="0.25">
      <c r="A6" s="9" t="s">
        <v>51</v>
      </c>
      <c r="B6" s="9" t="s">
        <v>77</v>
      </c>
      <c r="C6" s="10" t="s">
        <v>74</v>
      </c>
      <c r="D6" s="10" t="s">
        <v>74</v>
      </c>
      <c r="E6" s="10" t="s">
        <v>75</v>
      </c>
      <c r="F6" s="10" t="s">
        <v>75</v>
      </c>
      <c r="G6" s="11"/>
      <c r="H6" s="11"/>
      <c r="I6" s="11"/>
      <c r="J6" s="11"/>
      <c r="K6" s="11"/>
    </row>
    <row r="7" spans="1:11" ht="16.5" x14ac:dyDescent="0.25">
      <c r="A7" s="9" t="s">
        <v>51</v>
      </c>
      <c r="B7" s="9" t="s">
        <v>78</v>
      </c>
      <c r="C7" s="10" t="s">
        <v>74</v>
      </c>
      <c r="D7" s="10" t="s">
        <v>74</v>
      </c>
      <c r="E7" s="10" t="s">
        <v>74</v>
      </c>
      <c r="F7" s="10" t="s">
        <v>74</v>
      </c>
      <c r="G7" s="11"/>
      <c r="H7" s="11"/>
      <c r="I7" s="11"/>
      <c r="J7" s="11"/>
      <c r="K7" s="11"/>
    </row>
    <row r="8" spans="1:11" ht="16.5" x14ac:dyDescent="0.25">
      <c r="A8" s="9" t="s">
        <v>51</v>
      </c>
      <c r="B8" s="9" t="s">
        <v>79</v>
      </c>
      <c r="C8" s="10" t="s">
        <v>74</v>
      </c>
      <c r="D8" s="10" t="s">
        <v>74</v>
      </c>
      <c r="E8" s="10" t="s">
        <v>74</v>
      </c>
      <c r="F8" s="10" t="s">
        <v>74</v>
      </c>
      <c r="G8" s="11"/>
      <c r="H8" s="11"/>
      <c r="I8" s="11"/>
      <c r="J8" s="11"/>
      <c r="K8" s="11"/>
    </row>
    <row r="9" spans="1:11" ht="16.5" x14ac:dyDescent="0.25">
      <c r="A9" s="9" t="s">
        <v>51</v>
      </c>
      <c r="B9" s="9" t="s">
        <v>80</v>
      </c>
      <c r="C9" s="10" t="s">
        <v>74</v>
      </c>
      <c r="D9" s="10" t="s">
        <v>74</v>
      </c>
      <c r="E9" s="10" t="s">
        <v>74</v>
      </c>
      <c r="F9" s="10" t="s">
        <v>74</v>
      </c>
      <c r="G9" s="11"/>
      <c r="H9" s="11"/>
      <c r="I9" s="11"/>
      <c r="J9" s="11"/>
      <c r="K9" s="11"/>
    </row>
    <row r="10" spans="1:11" ht="16.5" x14ac:dyDescent="0.25">
      <c r="A10" s="9" t="s">
        <v>51</v>
      </c>
      <c r="B10" s="9" t="s">
        <v>81</v>
      </c>
      <c r="C10" s="10" t="s">
        <v>74</v>
      </c>
      <c r="D10" s="10" t="s">
        <v>74</v>
      </c>
      <c r="E10" s="10" t="s">
        <v>74</v>
      </c>
      <c r="F10" s="10" t="s">
        <v>74</v>
      </c>
      <c r="G10" s="11"/>
      <c r="H10" s="11"/>
      <c r="I10" s="11"/>
      <c r="J10" s="11"/>
      <c r="K10" s="11"/>
    </row>
    <row r="11" spans="1:11" ht="16.5" hidden="1" x14ac:dyDescent="0.25">
      <c r="A11" s="9" t="s">
        <v>51</v>
      </c>
      <c r="B11" s="9" t="s">
        <v>82</v>
      </c>
      <c r="C11" s="10" t="s">
        <v>74</v>
      </c>
      <c r="D11" s="10" t="s">
        <v>75</v>
      </c>
      <c r="E11" s="10" t="s">
        <v>75</v>
      </c>
      <c r="F11" s="10" t="s">
        <v>75</v>
      </c>
      <c r="G11" s="11"/>
      <c r="H11" s="11"/>
      <c r="I11" s="11"/>
      <c r="J11" s="11"/>
      <c r="K11" s="11"/>
    </row>
    <row r="12" spans="1:11" ht="16.5" hidden="1" x14ac:dyDescent="0.25">
      <c r="A12" s="9" t="s">
        <v>51</v>
      </c>
      <c r="B12" s="9" t="s">
        <v>83</v>
      </c>
      <c r="C12" s="10" t="s">
        <v>75</v>
      </c>
      <c r="D12" s="10" t="s">
        <v>75</v>
      </c>
      <c r="E12" s="10" t="s">
        <v>75</v>
      </c>
      <c r="F12" s="10" t="s">
        <v>75</v>
      </c>
      <c r="G12" s="11"/>
      <c r="H12" s="11"/>
      <c r="I12" s="11"/>
      <c r="J12" s="11"/>
      <c r="K12" s="11"/>
    </row>
    <row r="13" spans="1:11" ht="16.5" hidden="1" x14ac:dyDescent="0.25">
      <c r="A13" s="9" t="s">
        <v>84</v>
      </c>
      <c r="B13" s="9" t="s">
        <v>85</v>
      </c>
      <c r="C13" s="10" t="s">
        <v>74</v>
      </c>
      <c r="D13" s="10" t="s">
        <v>75</v>
      </c>
      <c r="E13" s="10" t="s">
        <v>75</v>
      </c>
      <c r="F13" s="10" t="s">
        <v>75</v>
      </c>
      <c r="G13" s="11"/>
      <c r="H13" s="11"/>
      <c r="I13" s="11"/>
      <c r="J13" s="11"/>
      <c r="K13" s="11"/>
    </row>
    <row r="14" spans="1:11" ht="16.5" hidden="1" x14ac:dyDescent="0.25">
      <c r="A14" s="9" t="s">
        <v>84</v>
      </c>
      <c r="B14" s="9" t="s">
        <v>86</v>
      </c>
      <c r="C14" s="10" t="s">
        <v>74</v>
      </c>
      <c r="D14" s="10" t="s">
        <v>74</v>
      </c>
      <c r="E14" s="10" t="s">
        <v>75</v>
      </c>
      <c r="F14" s="10" t="s">
        <v>74</v>
      </c>
      <c r="G14" s="11"/>
      <c r="H14" s="11"/>
      <c r="I14" s="11"/>
      <c r="J14" s="11"/>
      <c r="K14" s="11"/>
    </row>
    <row r="15" spans="1:11" ht="16.5" hidden="1" x14ac:dyDescent="0.25">
      <c r="A15" s="9" t="s">
        <v>84</v>
      </c>
      <c r="B15" s="9" t="s">
        <v>87</v>
      </c>
      <c r="C15" s="10" t="s">
        <v>74</v>
      </c>
      <c r="D15" s="10" t="s">
        <v>75</v>
      </c>
      <c r="E15" s="10" t="s">
        <v>75</v>
      </c>
      <c r="F15" s="10" t="s">
        <v>75</v>
      </c>
      <c r="G15" s="11"/>
      <c r="H15" s="11"/>
      <c r="I15" s="11"/>
      <c r="J15" s="11"/>
      <c r="K15" s="11"/>
    </row>
    <row r="16" spans="1:11" ht="16.5" hidden="1" x14ac:dyDescent="0.25">
      <c r="A16" s="9" t="s">
        <v>84</v>
      </c>
      <c r="B16" s="9" t="s">
        <v>88</v>
      </c>
      <c r="C16" s="10" t="s">
        <v>75</v>
      </c>
      <c r="D16" s="10" t="s">
        <v>75</v>
      </c>
      <c r="E16" s="10" t="s">
        <v>75</v>
      </c>
      <c r="F16" s="10" t="s">
        <v>75</v>
      </c>
      <c r="G16" s="11"/>
      <c r="H16" s="11"/>
      <c r="I16" s="11"/>
      <c r="J16" s="11"/>
      <c r="K16" s="11"/>
    </row>
    <row r="17" spans="1:11" ht="16.5" hidden="1" x14ac:dyDescent="0.25">
      <c r="A17" s="9" t="s">
        <v>84</v>
      </c>
      <c r="B17" s="9" t="s">
        <v>89</v>
      </c>
      <c r="C17" s="10" t="s">
        <v>75</v>
      </c>
      <c r="D17" s="10" t="s">
        <v>75</v>
      </c>
      <c r="E17" s="10" t="s">
        <v>75</v>
      </c>
      <c r="F17" s="10" t="s">
        <v>75</v>
      </c>
      <c r="G17" s="11"/>
      <c r="H17" s="11"/>
      <c r="I17" s="11"/>
      <c r="J17" s="11"/>
      <c r="K17" s="11"/>
    </row>
    <row r="18" spans="1:11" ht="16.5" hidden="1" x14ac:dyDescent="0.25">
      <c r="A18" s="9" t="s">
        <v>90</v>
      </c>
      <c r="B18" s="9" t="s">
        <v>91</v>
      </c>
      <c r="C18" s="10" t="s">
        <v>74</v>
      </c>
      <c r="D18" s="10" t="s">
        <v>75</v>
      </c>
      <c r="E18" s="10" t="s">
        <v>75</v>
      </c>
      <c r="F18" s="10" t="s">
        <v>75</v>
      </c>
      <c r="G18" s="11"/>
      <c r="H18" s="11"/>
      <c r="I18" s="11"/>
      <c r="J18" s="11"/>
      <c r="K18" s="11"/>
    </row>
    <row r="19" spans="1:11" ht="16.5" hidden="1" x14ac:dyDescent="0.25">
      <c r="A19" s="9" t="s">
        <v>90</v>
      </c>
      <c r="B19" s="9" t="s">
        <v>92</v>
      </c>
      <c r="C19" s="10" t="s">
        <v>74</v>
      </c>
      <c r="D19" s="10" t="s">
        <v>74</v>
      </c>
      <c r="E19" s="10" t="s">
        <v>75</v>
      </c>
      <c r="F19" s="10" t="s">
        <v>75</v>
      </c>
      <c r="G19" s="11"/>
      <c r="H19" s="11"/>
      <c r="I19" s="11"/>
      <c r="J19" s="11"/>
      <c r="K19" s="11"/>
    </row>
    <row r="20" spans="1:11" ht="16.5" hidden="1" x14ac:dyDescent="0.25">
      <c r="A20" s="9" t="s">
        <v>90</v>
      </c>
      <c r="B20" s="9" t="s">
        <v>93</v>
      </c>
      <c r="C20" s="10" t="s">
        <v>74</v>
      </c>
      <c r="D20" s="10" t="s">
        <v>74</v>
      </c>
      <c r="E20" s="10" t="s">
        <v>75</v>
      </c>
      <c r="F20" s="10" t="s">
        <v>75</v>
      </c>
      <c r="G20" s="11"/>
      <c r="H20" s="11"/>
      <c r="I20" s="11"/>
      <c r="J20" s="11"/>
      <c r="K20" s="11"/>
    </row>
    <row r="21" spans="1:11" ht="16.5" hidden="1" x14ac:dyDescent="0.25">
      <c r="A21" s="9" t="s">
        <v>90</v>
      </c>
      <c r="B21" s="9" t="s">
        <v>94</v>
      </c>
      <c r="C21" s="10" t="s">
        <v>75</v>
      </c>
      <c r="D21" s="10" t="s">
        <v>75</v>
      </c>
      <c r="E21" s="10" t="s">
        <v>75</v>
      </c>
      <c r="F21" s="10" t="s">
        <v>75</v>
      </c>
      <c r="G21" s="11"/>
      <c r="H21" s="11"/>
      <c r="I21" s="11"/>
      <c r="J21" s="11"/>
      <c r="K21" s="11"/>
    </row>
    <row r="22" spans="1:11" ht="16.5" hidden="1" x14ac:dyDescent="0.25">
      <c r="A22" s="9" t="s">
        <v>95</v>
      </c>
      <c r="B22" s="9" t="s">
        <v>96</v>
      </c>
      <c r="C22" s="10" t="s">
        <v>74</v>
      </c>
      <c r="D22" s="10" t="s">
        <v>74</v>
      </c>
      <c r="E22" s="10" t="s">
        <v>75</v>
      </c>
      <c r="F22" s="10" t="s">
        <v>74</v>
      </c>
      <c r="G22" s="11"/>
      <c r="H22" s="11"/>
      <c r="I22" s="11"/>
      <c r="J22" s="11"/>
      <c r="K22" s="11"/>
    </row>
    <row r="23" spans="1:11" ht="16.5" hidden="1" x14ac:dyDescent="0.25">
      <c r="A23" s="9" t="s">
        <v>95</v>
      </c>
      <c r="B23" s="9" t="s">
        <v>97</v>
      </c>
      <c r="C23" s="10" t="s">
        <v>74</v>
      </c>
      <c r="D23" s="10" t="s">
        <v>74</v>
      </c>
      <c r="E23" s="10" t="s">
        <v>75</v>
      </c>
      <c r="F23" s="10" t="s">
        <v>74</v>
      </c>
      <c r="G23" s="11"/>
      <c r="H23" s="11"/>
      <c r="I23" s="11"/>
      <c r="J23" s="11"/>
      <c r="K23" s="11"/>
    </row>
    <row r="24" spans="1:11" ht="16.5" hidden="1" x14ac:dyDescent="0.25">
      <c r="A24" s="9" t="s">
        <v>95</v>
      </c>
      <c r="B24" s="9" t="s">
        <v>98</v>
      </c>
      <c r="C24" s="10" t="s">
        <v>74</v>
      </c>
      <c r="D24" s="10" t="s">
        <v>74</v>
      </c>
      <c r="E24" s="10" t="s">
        <v>75</v>
      </c>
      <c r="F24" s="10" t="s">
        <v>74</v>
      </c>
      <c r="G24" s="11"/>
      <c r="H24" s="11"/>
      <c r="I24" s="11"/>
      <c r="J24" s="11"/>
      <c r="K24" s="11"/>
    </row>
    <row r="25" spans="1:11" ht="16.5" hidden="1" x14ac:dyDescent="0.25">
      <c r="A25" s="9" t="s">
        <v>95</v>
      </c>
      <c r="B25" s="9" t="s">
        <v>99</v>
      </c>
      <c r="C25" s="10" t="s">
        <v>74</v>
      </c>
      <c r="D25" s="10" t="s">
        <v>74</v>
      </c>
      <c r="E25" s="10" t="s">
        <v>75</v>
      </c>
      <c r="F25" s="10" t="s">
        <v>74</v>
      </c>
      <c r="G25" s="11"/>
      <c r="H25" s="11"/>
      <c r="I25" s="11"/>
      <c r="J25" s="11"/>
      <c r="K25" s="11"/>
    </row>
    <row r="26" spans="1:11" ht="16.5" x14ac:dyDescent="0.25">
      <c r="A26" s="13"/>
      <c r="B26" s="13"/>
      <c r="C26" s="27"/>
      <c r="D26" s="27"/>
      <c r="E26" s="27"/>
      <c r="F26" s="27"/>
    </row>
    <row r="28" spans="1:11" ht="16.5" x14ac:dyDescent="0.25">
      <c r="A28" s="14" t="s">
        <v>100</v>
      </c>
    </row>
    <row r="29" spans="1:11" ht="66.75" customHeight="1" x14ac:dyDescent="0.25">
      <c r="A29" s="17" t="s">
        <v>101</v>
      </c>
      <c r="B29" s="17" t="s">
        <v>64</v>
      </c>
      <c r="C29" s="18" t="s">
        <v>67</v>
      </c>
      <c r="D29" s="19"/>
      <c r="E29" s="19"/>
      <c r="F29" s="19"/>
      <c r="G29" s="15" t="s">
        <v>68</v>
      </c>
      <c r="H29" s="8" t="s">
        <v>69</v>
      </c>
      <c r="I29" s="8" t="s">
        <v>70</v>
      </c>
      <c r="J29" s="8" t="s">
        <v>71</v>
      </c>
      <c r="K29" s="8" t="s">
        <v>72</v>
      </c>
    </row>
    <row r="30" spans="1:11" ht="16.5" x14ac:dyDescent="0.25">
      <c r="A30" s="9" t="s">
        <v>51</v>
      </c>
      <c r="B30" s="9" t="s">
        <v>102</v>
      </c>
      <c r="C30" s="9" t="s">
        <v>74</v>
      </c>
      <c r="D30" s="19"/>
      <c r="E30" s="19"/>
      <c r="F30" s="19"/>
      <c r="G30" s="16"/>
      <c r="H30" s="11"/>
      <c r="I30" s="11"/>
      <c r="J30" s="11"/>
      <c r="K30" s="11"/>
    </row>
    <row r="31" spans="1:11" ht="16.5" x14ac:dyDescent="0.25">
      <c r="A31" s="9" t="s">
        <v>84</v>
      </c>
      <c r="B31" s="9" t="s">
        <v>103</v>
      </c>
      <c r="C31" s="9" t="s">
        <v>74</v>
      </c>
      <c r="D31" s="19"/>
      <c r="E31" s="19"/>
      <c r="F31" s="19"/>
      <c r="G31" s="16"/>
      <c r="H31" s="11"/>
      <c r="I31" s="11"/>
      <c r="J31" s="11"/>
      <c r="K31" s="11"/>
    </row>
    <row r="32" spans="1:11" ht="16.5" x14ac:dyDescent="0.25">
      <c r="A32" s="9" t="s">
        <v>104</v>
      </c>
      <c r="B32" s="9" t="s">
        <v>105</v>
      </c>
      <c r="C32" s="9" t="s">
        <v>75</v>
      </c>
      <c r="D32" s="19"/>
      <c r="E32" s="19"/>
      <c r="F32" s="19"/>
      <c r="G32" s="16"/>
      <c r="H32" s="11"/>
      <c r="I32" s="11"/>
      <c r="J32" s="11"/>
      <c r="K32" s="11"/>
    </row>
    <row r="33" spans="1:11" ht="16.5" x14ac:dyDescent="0.25">
      <c r="A33" s="9" t="s">
        <v>84</v>
      </c>
      <c r="B33" s="9" t="s">
        <v>106</v>
      </c>
      <c r="C33" s="9" t="s">
        <v>74</v>
      </c>
      <c r="D33" s="19"/>
      <c r="E33" s="19"/>
      <c r="F33" s="19"/>
      <c r="G33" s="16"/>
      <c r="H33" s="11"/>
      <c r="I33" s="11"/>
      <c r="J33" s="11"/>
      <c r="K33" s="11"/>
    </row>
    <row r="34" spans="1:11" ht="33" x14ac:dyDescent="0.25">
      <c r="A34" s="9" t="s">
        <v>104</v>
      </c>
      <c r="B34" s="9" t="s">
        <v>107</v>
      </c>
      <c r="C34" s="9" t="s">
        <v>74</v>
      </c>
      <c r="D34" s="19"/>
      <c r="E34" s="19"/>
      <c r="F34" s="19"/>
      <c r="G34" s="16"/>
      <c r="H34" s="11"/>
      <c r="I34" s="11"/>
      <c r="J34" s="11"/>
      <c r="K34" s="11"/>
    </row>
    <row r="35" spans="1:11" ht="16.5" x14ac:dyDescent="0.25">
      <c r="A35" s="9" t="s">
        <v>90</v>
      </c>
      <c r="B35" s="9" t="s">
        <v>108</v>
      </c>
      <c r="C35" s="9" t="s">
        <v>75</v>
      </c>
      <c r="D35" s="19"/>
      <c r="E35" s="19"/>
      <c r="F35" s="19"/>
      <c r="G35" s="16"/>
      <c r="H35" s="11"/>
      <c r="I35" s="11"/>
      <c r="J35" s="11"/>
      <c r="K35" s="11"/>
    </row>
    <row r="36" spans="1:11" ht="16.5" x14ac:dyDescent="0.25">
      <c r="A36" s="9" t="s">
        <v>90</v>
      </c>
      <c r="B36" s="9" t="s">
        <v>109</v>
      </c>
      <c r="C36" s="9" t="s">
        <v>75</v>
      </c>
      <c r="D36" s="19"/>
      <c r="E36" s="19"/>
      <c r="F36" s="19"/>
      <c r="G36" s="16"/>
      <c r="H36" s="11"/>
      <c r="I36" s="11"/>
      <c r="J36" s="11"/>
      <c r="K36" s="11"/>
    </row>
    <row r="37" spans="1:11" ht="16.5" x14ac:dyDescent="0.25">
      <c r="A37" s="9" t="s">
        <v>90</v>
      </c>
      <c r="B37" s="9" t="s">
        <v>110</v>
      </c>
      <c r="C37" s="9" t="s">
        <v>74</v>
      </c>
      <c r="D37" s="19"/>
      <c r="E37" s="19"/>
      <c r="F37" s="19"/>
      <c r="G37" s="16"/>
      <c r="H37" s="11"/>
      <c r="I37" s="11"/>
      <c r="J37" s="11"/>
      <c r="K37" s="11"/>
    </row>
    <row r="38" spans="1:11" ht="16.5" x14ac:dyDescent="0.25">
      <c r="A38" s="9" t="s">
        <v>90</v>
      </c>
      <c r="B38" s="9" t="s">
        <v>111</v>
      </c>
      <c r="C38" s="9" t="s">
        <v>74</v>
      </c>
      <c r="D38" s="19"/>
      <c r="E38" s="19"/>
      <c r="F38" s="19"/>
      <c r="G38" s="16"/>
      <c r="H38" s="11"/>
      <c r="I38" s="11"/>
      <c r="J38" s="11"/>
      <c r="K38" s="11"/>
    </row>
    <row r="39" spans="1:11" ht="16.5" x14ac:dyDescent="0.25">
      <c r="A39" s="9" t="s">
        <v>90</v>
      </c>
      <c r="B39" s="9" t="s">
        <v>112</v>
      </c>
      <c r="C39" s="9" t="s">
        <v>74</v>
      </c>
      <c r="D39" s="19"/>
      <c r="E39" s="19"/>
      <c r="F39" s="19"/>
      <c r="G39" s="16"/>
      <c r="H39" s="11"/>
      <c r="I39" s="11"/>
      <c r="J39" s="11"/>
      <c r="K39" s="11"/>
    </row>
  </sheetData>
  <autoFilter ref="A3:K25" xr:uid="{FE6A1F8C-41AF-486C-92C4-76F88902435A}">
    <filterColumn colId="4">
      <filters>
        <filter val="Required"/>
      </filters>
    </filterColumn>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488B7-4B15-436A-A0B6-865522FA0066}">
  <dimension ref="A1:H43"/>
  <sheetViews>
    <sheetView zoomScale="90" zoomScaleNormal="90" workbookViewId="0">
      <selection activeCell="G11" sqref="G11"/>
    </sheetView>
  </sheetViews>
  <sheetFormatPr defaultRowHeight="15" x14ac:dyDescent="0.25"/>
  <cols>
    <col min="1" max="1" width="23.5703125" customWidth="1"/>
    <col min="2" max="2" width="22.7109375" customWidth="1"/>
    <col min="3" max="3" width="70.85546875" customWidth="1"/>
    <col min="4" max="4" width="24.85546875" customWidth="1"/>
    <col min="5" max="8" width="28.7109375" customWidth="1"/>
  </cols>
  <sheetData>
    <row r="1" spans="1:8" ht="15.75" thickBot="1" x14ac:dyDescent="0.3"/>
    <row r="2" spans="1:8" ht="17.25" thickBot="1" x14ac:dyDescent="0.3">
      <c r="A2" s="64" t="s">
        <v>63</v>
      </c>
      <c r="B2" s="64" t="s">
        <v>64</v>
      </c>
      <c r="C2" s="64" t="s">
        <v>113</v>
      </c>
      <c r="D2" s="4" t="s">
        <v>114</v>
      </c>
      <c r="E2" s="64" t="s">
        <v>115</v>
      </c>
      <c r="F2" s="64" t="s">
        <v>116</v>
      </c>
      <c r="G2" s="64" t="s">
        <v>117</v>
      </c>
      <c r="H2" s="64" t="s">
        <v>67</v>
      </c>
    </row>
    <row r="3" spans="1:8" ht="33.75" thickBot="1" x14ac:dyDescent="0.3">
      <c r="A3" s="65"/>
      <c r="B3" s="65"/>
      <c r="C3" s="65"/>
      <c r="D3" s="5" t="s">
        <v>118</v>
      </c>
      <c r="E3" s="65"/>
      <c r="F3" s="65"/>
      <c r="G3" s="65"/>
      <c r="H3" s="65"/>
    </row>
    <row r="4" spans="1:8" ht="33.75" thickBot="1" x14ac:dyDescent="0.3">
      <c r="A4" s="3" t="s">
        <v>51</v>
      </c>
      <c r="B4" s="30" t="s">
        <v>73</v>
      </c>
      <c r="C4" s="3" t="s">
        <v>119</v>
      </c>
      <c r="D4" s="3" t="s">
        <v>120</v>
      </c>
      <c r="E4" s="3" t="s">
        <v>74</v>
      </c>
      <c r="F4" s="3" t="s">
        <v>74</v>
      </c>
      <c r="G4" s="3" t="s">
        <v>75</v>
      </c>
      <c r="H4" s="3" t="s">
        <v>75</v>
      </c>
    </row>
    <row r="5" spans="1:8" ht="66.75" thickBot="1" x14ac:dyDescent="0.3">
      <c r="A5" s="3" t="s">
        <v>51</v>
      </c>
      <c r="B5" s="30" t="s">
        <v>76</v>
      </c>
      <c r="C5" s="3" t="s">
        <v>121</v>
      </c>
      <c r="D5" s="3" t="s">
        <v>120</v>
      </c>
      <c r="E5" s="3" t="s">
        <v>74</v>
      </c>
      <c r="F5" s="3" t="s">
        <v>74</v>
      </c>
      <c r="G5" s="3" t="s">
        <v>75</v>
      </c>
      <c r="H5" s="3" t="s">
        <v>75</v>
      </c>
    </row>
    <row r="6" spans="1:8" ht="50.25" thickBot="1" x14ac:dyDescent="0.3">
      <c r="A6" s="3" t="s">
        <v>51</v>
      </c>
      <c r="B6" s="30" t="s">
        <v>77</v>
      </c>
      <c r="C6" s="3" t="s">
        <v>122</v>
      </c>
      <c r="D6" s="3" t="s">
        <v>123</v>
      </c>
      <c r="E6" s="3" t="s">
        <v>74</v>
      </c>
      <c r="F6" s="3" t="s">
        <v>74</v>
      </c>
      <c r="G6" s="3" t="s">
        <v>75</v>
      </c>
      <c r="H6" s="3" t="s">
        <v>75</v>
      </c>
    </row>
    <row r="7" spans="1:8" ht="83.25" thickBot="1" x14ac:dyDescent="0.3">
      <c r="A7" s="3" t="s">
        <v>51</v>
      </c>
      <c r="B7" s="30" t="s">
        <v>78</v>
      </c>
      <c r="C7" s="3" t="s">
        <v>124</v>
      </c>
      <c r="D7" s="3" t="s">
        <v>123</v>
      </c>
      <c r="E7" s="3" t="s">
        <v>74</v>
      </c>
      <c r="F7" s="3" t="s">
        <v>74</v>
      </c>
      <c r="G7" s="3" t="s">
        <v>74</v>
      </c>
      <c r="H7" s="3" t="s">
        <v>74</v>
      </c>
    </row>
    <row r="8" spans="1:8" ht="99.75" thickBot="1" x14ac:dyDescent="0.3">
      <c r="A8" s="3" t="s">
        <v>51</v>
      </c>
      <c r="B8" s="3" t="s">
        <v>79</v>
      </c>
      <c r="C8" s="3" t="s">
        <v>125</v>
      </c>
      <c r="D8" s="3" t="s">
        <v>123</v>
      </c>
      <c r="E8" s="3" t="s">
        <v>74</v>
      </c>
      <c r="F8" s="3" t="s">
        <v>74</v>
      </c>
      <c r="G8" s="3" t="s">
        <v>74</v>
      </c>
      <c r="H8" s="3" t="s">
        <v>74</v>
      </c>
    </row>
    <row r="9" spans="1:8" ht="116.25" thickBot="1" x14ac:dyDescent="0.3">
      <c r="A9" s="3" t="s">
        <v>51</v>
      </c>
      <c r="B9" s="3" t="s">
        <v>80</v>
      </c>
      <c r="C9" s="3" t="s">
        <v>126</v>
      </c>
      <c r="D9" s="3" t="s">
        <v>127</v>
      </c>
      <c r="E9" s="3" t="s">
        <v>74</v>
      </c>
      <c r="F9" s="3" t="s">
        <v>74</v>
      </c>
      <c r="G9" s="3" t="s">
        <v>74</v>
      </c>
      <c r="H9" s="3" t="s">
        <v>74</v>
      </c>
    </row>
    <row r="10" spans="1:8" ht="99.75" thickBot="1" x14ac:dyDescent="0.3">
      <c r="A10" s="3" t="s">
        <v>51</v>
      </c>
      <c r="B10" s="3" t="s">
        <v>81</v>
      </c>
      <c r="C10" s="3" t="s">
        <v>128</v>
      </c>
      <c r="D10" s="3" t="s">
        <v>127</v>
      </c>
      <c r="E10" s="3" t="s">
        <v>74</v>
      </c>
      <c r="F10" s="3" t="s">
        <v>74</v>
      </c>
      <c r="G10" s="3" t="s">
        <v>74</v>
      </c>
      <c r="H10" s="3" t="s">
        <v>74</v>
      </c>
    </row>
    <row r="11" spans="1:8" ht="116.25" thickBot="1" x14ac:dyDescent="0.3">
      <c r="A11" s="3" t="s">
        <v>51</v>
      </c>
      <c r="B11" s="3" t="s">
        <v>82</v>
      </c>
      <c r="C11" s="3" t="s">
        <v>129</v>
      </c>
      <c r="D11" s="3" t="s">
        <v>123</v>
      </c>
      <c r="E11" s="3" t="s">
        <v>74</v>
      </c>
      <c r="F11" s="3" t="s">
        <v>75</v>
      </c>
      <c r="G11" s="3" t="s">
        <v>75</v>
      </c>
      <c r="H11" s="3" t="s">
        <v>75</v>
      </c>
    </row>
    <row r="12" spans="1:8" ht="149.25" thickBot="1" x14ac:dyDescent="0.3">
      <c r="A12" s="3" t="s">
        <v>51</v>
      </c>
      <c r="B12" s="3" t="s">
        <v>83</v>
      </c>
      <c r="C12" s="3" t="s">
        <v>130</v>
      </c>
      <c r="D12" s="3" t="s">
        <v>123</v>
      </c>
      <c r="E12" s="3" t="s">
        <v>74</v>
      </c>
      <c r="F12" s="3" t="s">
        <v>74</v>
      </c>
      <c r="G12" s="3" t="s">
        <v>74</v>
      </c>
      <c r="H12" s="3" t="s">
        <v>74</v>
      </c>
    </row>
    <row r="13" spans="1:8" ht="50.25" thickBot="1" x14ac:dyDescent="0.3">
      <c r="A13" s="3" t="s">
        <v>84</v>
      </c>
      <c r="B13" s="3" t="s">
        <v>85</v>
      </c>
      <c r="C13" s="3" t="s">
        <v>119</v>
      </c>
      <c r="D13" s="3" t="s">
        <v>123</v>
      </c>
      <c r="E13" s="3" t="s">
        <v>74</v>
      </c>
      <c r="F13" s="3" t="s">
        <v>75</v>
      </c>
      <c r="G13" s="3" t="s">
        <v>75</v>
      </c>
      <c r="H13" s="3" t="s">
        <v>75</v>
      </c>
    </row>
    <row r="14" spans="1:8" ht="83.25" thickBot="1" x14ac:dyDescent="0.3">
      <c r="A14" s="3" t="s">
        <v>84</v>
      </c>
      <c r="B14" s="30" t="s">
        <v>86</v>
      </c>
      <c r="C14" s="3" t="s">
        <v>131</v>
      </c>
      <c r="D14" s="3" t="s">
        <v>123</v>
      </c>
      <c r="E14" s="3" t="s">
        <v>74</v>
      </c>
      <c r="F14" s="3" t="s">
        <v>74</v>
      </c>
      <c r="G14" s="3" t="s">
        <v>75</v>
      </c>
      <c r="H14" s="3" t="s">
        <v>74</v>
      </c>
    </row>
    <row r="15" spans="1:8" ht="132.75" thickBot="1" x14ac:dyDescent="0.3">
      <c r="A15" s="3" t="s">
        <v>84</v>
      </c>
      <c r="B15" s="30" t="s">
        <v>87</v>
      </c>
      <c r="C15" s="3" t="s">
        <v>132</v>
      </c>
      <c r="D15" s="3" t="s">
        <v>123</v>
      </c>
      <c r="E15" s="3" t="s">
        <v>74</v>
      </c>
      <c r="F15" s="3" t="s">
        <v>75</v>
      </c>
      <c r="G15" s="3" t="s">
        <v>75</v>
      </c>
      <c r="H15" s="3" t="s">
        <v>75</v>
      </c>
    </row>
    <row r="16" spans="1:8" ht="116.25" thickBot="1" x14ac:dyDescent="0.3">
      <c r="A16" s="3" t="s">
        <v>84</v>
      </c>
      <c r="B16" s="3" t="s">
        <v>88</v>
      </c>
      <c r="C16" s="3" t="s">
        <v>133</v>
      </c>
      <c r="D16" s="3" t="s">
        <v>134</v>
      </c>
      <c r="E16" s="3" t="s">
        <v>75</v>
      </c>
      <c r="F16" s="3" t="s">
        <v>75</v>
      </c>
      <c r="G16" s="3" t="s">
        <v>75</v>
      </c>
      <c r="H16" s="3" t="s">
        <v>75</v>
      </c>
    </row>
    <row r="17" spans="1:8" ht="116.25" thickBot="1" x14ac:dyDescent="0.3">
      <c r="A17" s="3" t="s">
        <v>84</v>
      </c>
      <c r="B17" s="3" t="s">
        <v>89</v>
      </c>
      <c r="C17" s="3" t="s">
        <v>135</v>
      </c>
      <c r="D17" s="3" t="s">
        <v>136</v>
      </c>
      <c r="E17" s="3" t="s">
        <v>75</v>
      </c>
      <c r="F17" s="3" t="s">
        <v>75</v>
      </c>
      <c r="G17" s="3" t="s">
        <v>75</v>
      </c>
      <c r="H17" s="3" t="s">
        <v>75</v>
      </c>
    </row>
    <row r="18" spans="1:8" ht="83.25" thickBot="1" x14ac:dyDescent="0.3">
      <c r="A18" s="3" t="s">
        <v>90</v>
      </c>
      <c r="B18" s="30" t="s">
        <v>91</v>
      </c>
      <c r="C18" s="3" t="s">
        <v>137</v>
      </c>
      <c r="D18" s="3" t="s">
        <v>123</v>
      </c>
      <c r="E18" s="3" t="s">
        <v>74</v>
      </c>
      <c r="F18" s="3" t="s">
        <v>75</v>
      </c>
      <c r="G18" s="3" t="s">
        <v>75</v>
      </c>
      <c r="H18" s="3" t="s">
        <v>75</v>
      </c>
    </row>
    <row r="19" spans="1:8" ht="99.75" thickBot="1" x14ac:dyDescent="0.3">
      <c r="A19" s="3" t="s">
        <v>90</v>
      </c>
      <c r="B19" s="3" t="s">
        <v>92</v>
      </c>
      <c r="C19" s="3" t="s">
        <v>138</v>
      </c>
      <c r="D19" s="3" t="s">
        <v>134</v>
      </c>
      <c r="E19" s="3" t="s">
        <v>74</v>
      </c>
      <c r="F19" s="3" t="s">
        <v>74</v>
      </c>
      <c r="G19" s="3" t="s">
        <v>75</v>
      </c>
      <c r="H19" s="3" t="s">
        <v>75</v>
      </c>
    </row>
    <row r="20" spans="1:8" ht="66.75" thickBot="1" x14ac:dyDescent="0.3">
      <c r="A20" s="3" t="s">
        <v>90</v>
      </c>
      <c r="B20" s="3" t="s">
        <v>93</v>
      </c>
      <c r="C20" s="3" t="s">
        <v>139</v>
      </c>
      <c r="D20" s="3" t="s">
        <v>134</v>
      </c>
      <c r="E20" s="3" t="s">
        <v>74</v>
      </c>
      <c r="F20" s="3" t="s">
        <v>74</v>
      </c>
      <c r="G20" s="3" t="s">
        <v>75</v>
      </c>
      <c r="H20" s="3" t="s">
        <v>75</v>
      </c>
    </row>
    <row r="21" spans="1:8" ht="165.75" thickBot="1" x14ac:dyDescent="0.3">
      <c r="A21" s="3" t="s">
        <v>90</v>
      </c>
      <c r="B21" s="3" t="s">
        <v>94</v>
      </c>
      <c r="C21" s="3" t="s">
        <v>140</v>
      </c>
      <c r="D21" s="3" t="s">
        <v>134</v>
      </c>
      <c r="E21" s="3" t="s">
        <v>75</v>
      </c>
      <c r="F21" s="3" t="s">
        <v>75</v>
      </c>
      <c r="G21" s="3" t="s">
        <v>75</v>
      </c>
      <c r="H21" s="3" t="s">
        <v>75</v>
      </c>
    </row>
    <row r="22" spans="1:8" ht="132.75" thickBot="1" x14ac:dyDescent="0.3">
      <c r="A22" s="3" t="s">
        <v>95</v>
      </c>
      <c r="B22" s="3" t="s">
        <v>96</v>
      </c>
      <c r="C22" s="3" t="s">
        <v>141</v>
      </c>
      <c r="D22" s="3" t="s">
        <v>123</v>
      </c>
      <c r="E22" s="3" t="s">
        <v>74</v>
      </c>
      <c r="F22" s="3" t="s">
        <v>74</v>
      </c>
      <c r="G22" s="3" t="s">
        <v>75</v>
      </c>
      <c r="H22" s="3" t="s">
        <v>74</v>
      </c>
    </row>
    <row r="23" spans="1:8" ht="83.25" thickBot="1" x14ac:dyDescent="0.3">
      <c r="A23" s="3" t="s">
        <v>95</v>
      </c>
      <c r="B23" s="3" t="s">
        <v>97</v>
      </c>
      <c r="C23" s="3" t="s">
        <v>142</v>
      </c>
      <c r="D23" s="3" t="s">
        <v>123</v>
      </c>
      <c r="E23" s="3" t="s">
        <v>74</v>
      </c>
      <c r="F23" s="3" t="s">
        <v>74</v>
      </c>
      <c r="G23" s="3" t="s">
        <v>75</v>
      </c>
      <c r="H23" s="3" t="s">
        <v>74</v>
      </c>
    </row>
    <row r="24" spans="1:8" ht="149.25" thickBot="1" x14ac:dyDescent="0.3">
      <c r="A24" s="3" t="s">
        <v>95</v>
      </c>
      <c r="B24" s="3" t="s">
        <v>98</v>
      </c>
      <c r="C24" s="3" t="s">
        <v>143</v>
      </c>
      <c r="D24" s="3" t="s">
        <v>123</v>
      </c>
      <c r="E24" s="3" t="s">
        <v>74</v>
      </c>
      <c r="F24" s="3" t="s">
        <v>74</v>
      </c>
      <c r="G24" s="3" t="s">
        <v>75</v>
      </c>
      <c r="H24" s="3" t="s">
        <v>74</v>
      </c>
    </row>
    <row r="25" spans="1:8" ht="83.25" thickBot="1" x14ac:dyDescent="0.3">
      <c r="A25" s="3" t="s">
        <v>95</v>
      </c>
      <c r="B25" s="3" t="s">
        <v>99</v>
      </c>
      <c r="C25" s="3" t="s">
        <v>144</v>
      </c>
      <c r="D25" s="3" t="s">
        <v>123</v>
      </c>
      <c r="E25" s="3" t="s">
        <v>74</v>
      </c>
      <c r="F25" s="3" t="s">
        <v>74</v>
      </c>
      <c r="G25" s="3" t="s">
        <v>75</v>
      </c>
      <c r="H25" s="3" t="s">
        <v>74</v>
      </c>
    </row>
    <row r="28" spans="1:8" ht="17.25" thickBot="1" x14ac:dyDescent="0.3">
      <c r="A28" s="14" t="s">
        <v>100</v>
      </c>
    </row>
    <row r="29" spans="1:8" ht="16.5" x14ac:dyDescent="0.25">
      <c r="A29" s="66" t="s">
        <v>101</v>
      </c>
      <c r="B29" s="66" t="s">
        <v>64</v>
      </c>
      <c r="C29" s="66" t="s">
        <v>113</v>
      </c>
      <c r="D29" s="1" t="s">
        <v>145</v>
      </c>
      <c r="E29" s="66" t="s">
        <v>115</v>
      </c>
      <c r="F29" s="66" t="s">
        <v>116</v>
      </c>
      <c r="G29" s="66" t="s">
        <v>117</v>
      </c>
      <c r="H29" s="66" t="s">
        <v>67</v>
      </c>
    </row>
    <row r="30" spans="1:8" ht="33.75" thickBot="1" x14ac:dyDescent="0.3">
      <c r="A30" s="67"/>
      <c r="B30" s="67"/>
      <c r="C30" s="67"/>
      <c r="D30" s="2" t="s">
        <v>118</v>
      </c>
      <c r="E30" s="67"/>
      <c r="F30" s="67"/>
      <c r="G30" s="67"/>
      <c r="H30" s="67"/>
    </row>
    <row r="31" spans="1:8" ht="50.25" thickBot="1" x14ac:dyDescent="0.3">
      <c r="A31" s="3" t="s">
        <v>51</v>
      </c>
      <c r="B31" s="3" t="s">
        <v>102</v>
      </c>
      <c r="C31" s="3" t="s">
        <v>146</v>
      </c>
      <c r="D31" s="3" t="s">
        <v>123</v>
      </c>
      <c r="E31" s="3" t="s">
        <v>147</v>
      </c>
      <c r="F31" s="3" t="s">
        <v>147</v>
      </c>
      <c r="G31" s="3" t="s">
        <v>147</v>
      </c>
      <c r="H31" s="3" t="s">
        <v>74</v>
      </c>
    </row>
    <row r="32" spans="1:8" ht="132.75" thickBot="1" x14ac:dyDescent="0.3">
      <c r="A32" s="3" t="s">
        <v>51</v>
      </c>
      <c r="B32" s="3" t="s">
        <v>148</v>
      </c>
      <c r="C32" s="3" t="s">
        <v>149</v>
      </c>
      <c r="D32" s="3" t="s">
        <v>134</v>
      </c>
      <c r="E32" s="3" t="s">
        <v>147</v>
      </c>
      <c r="F32" s="3" t="s">
        <v>147</v>
      </c>
      <c r="G32" s="3" t="s">
        <v>147</v>
      </c>
      <c r="H32" s="3" t="s">
        <v>75</v>
      </c>
    </row>
    <row r="33" spans="1:8" ht="33.75" thickBot="1" x14ac:dyDescent="0.3">
      <c r="A33" s="3" t="s">
        <v>84</v>
      </c>
      <c r="B33" s="3" t="s">
        <v>103</v>
      </c>
      <c r="C33" s="3" t="s">
        <v>150</v>
      </c>
      <c r="D33" s="3" t="s">
        <v>123</v>
      </c>
      <c r="E33" s="3" t="s">
        <v>147</v>
      </c>
      <c r="F33" s="3" t="s">
        <v>147</v>
      </c>
      <c r="G33" s="3" t="s">
        <v>147</v>
      </c>
      <c r="H33" s="3" t="s">
        <v>74</v>
      </c>
    </row>
    <row r="34" spans="1:8" ht="83.25" thickBot="1" x14ac:dyDescent="0.3">
      <c r="A34" s="3" t="s">
        <v>104</v>
      </c>
      <c r="B34" s="3" t="s">
        <v>105</v>
      </c>
      <c r="C34" s="3" t="s">
        <v>151</v>
      </c>
      <c r="D34" s="3" t="s">
        <v>123</v>
      </c>
      <c r="E34" s="3" t="s">
        <v>147</v>
      </c>
      <c r="F34" s="3" t="s">
        <v>147</v>
      </c>
      <c r="G34" s="3" t="s">
        <v>147</v>
      </c>
      <c r="H34" s="3" t="s">
        <v>75</v>
      </c>
    </row>
    <row r="35" spans="1:8" ht="83.25" thickBot="1" x14ac:dyDescent="0.3">
      <c r="A35" s="3" t="s">
        <v>84</v>
      </c>
      <c r="B35" s="3" t="s">
        <v>106</v>
      </c>
      <c r="C35" s="3" t="s">
        <v>152</v>
      </c>
      <c r="D35" s="3" t="s">
        <v>134</v>
      </c>
      <c r="E35" s="3" t="s">
        <v>147</v>
      </c>
      <c r="F35" s="3" t="s">
        <v>147</v>
      </c>
      <c r="G35" s="3" t="s">
        <v>147</v>
      </c>
      <c r="H35" s="3" t="s">
        <v>74</v>
      </c>
    </row>
    <row r="36" spans="1:8" ht="83.25" thickBot="1" x14ac:dyDescent="0.3">
      <c r="A36" s="3" t="s">
        <v>104</v>
      </c>
      <c r="B36" s="3" t="s">
        <v>153</v>
      </c>
      <c r="C36" s="3" t="s">
        <v>154</v>
      </c>
      <c r="D36" s="3" t="s">
        <v>134</v>
      </c>
      <c r="E36" s="3" t="s">
        <v>147</v>
      </c>
      <c r="F36" s="3" t="s">
        <v>147</v>
      </c>
      <c r="G36" s="3" t="s">
        <v>147</v>
      </c>
      <c r="H36" s="3" t="s">
        <v>74</v>
      </c>
    </row>
    <row r="37" spans="1:8" ht="83.25" thickBot="1" x14ac:dyDescent="0.3">
      <c r="A37" s="3" t="s">
        <v>90</v>
      </c>
      <c r="B37" s="3" t="s">
        <v>108</v>
      </c>
      <c r="C37" s="3" t="s">
        <v>155</v>
      </c>
      <c r="D37" s="3" t="s">
        <v>156</v>
      </c>
      <c r="E37" s="3" t="s">
        <v>147</v>
      </c>
      <c r="F37" s="3" t="s">
        <v>147</v>
      </c>
      <c r="G37" s="3" t="s">
        <v>147</v>
      </c>
      <c r="H37" s="3" t="s">
        <v>75</v>
      </c>
    </row>
    <row r="38" spans="1:8" ht="116.25" thickBot="1" x14ac:dyDescent="0.3">
      <c r="A38" s="3" t="s">
        <v>90</v>
      </c>
      <c r="B38" s="3" t="s">
        <v>157</v>
      </c>
      <c r="C38" s="3" t="s">
        <v>158</v>
      </c>
      <c r="D38" s="3" t="s">
        <v>134</v>
      </c>
      <c r="E38" s="3" t="s">
        <v>147</v>
      </c>
      <c r="F38" s="3" t="s">
        <v>147</v>
      </c>
      <c r="G38" s="3" t="s">
        <v>147</v>
      </c>
      <c r="H38" s="3" t="s">
        <v>147</v>
      </c>
    </row>
    <row r="39" spans="1:8" ht="66.75" thickBot="1" x14ac:dyDescent="0.3">
      <c r="A39" s="3" t="s">
        <v>90</v>
      </c>
      <c r="B39" s="3" t="s">
        <v>159</v>
      </c>
      <c r="C39" s="3" t="s">
        <v>160</v>
      </c>
      <c r="D39" s="3" t="s">
        <v>156</v>
      </c>
      <c r="E39" s="3" t="s">
        <v>147</v>
      </c>
      <c r="F39" s="3" t="s">
        <v>147</v>
      </c>
      <c r="G39" s="3" t="s">
        <v>147</v>
      </c>
      <c r="H39" s="3" t="s">
        <v>147</v>
      </c>
    </row>
    <row r="40" spans="1:8" ht="132.75" thickBot="1" x14ac:dyDescent="0.3">
      <c r="A40" s="3" t="s">
        <v>90</v>
      </c>
      <c r="B40" s="3" t="s">
        <v>109</v>
      </c>
      <c r="C40" s="3" t="s">
        <v>161</v>
      </c>
      <c r="D40" s="3" t="s">
        <v>156</v>
      </c>
      <c r="E40" s="3" t="s">
        <v>147</v>
      </c>
      <c r="F40" s="3" t="s">
        <v>147</v>
      </c>
      <c r="G40" s="3" t="s">
        <v>147</v>
      </c>
      <c r="H40" s="3" t="s">
        <v>75</v>
      </c>
    </row>
    <row r="41" spans="1:8" ht="66.75" thickBot="1" x14ac:dyDescent="0.3">
      <c r="A41" s="3" t="s">
        <v>90</v>
      </c>
      <c r="B41" s="3" t="s">
        <v>110</v>
      </c>
      <c r="C41" s="3" t="s">
        <v>162</v>
      </c>
      <c r="D41" s="3" t="s">
        <v>156</v>
      </c>
      <c r="E41" s="3" t="s">
        <v>147</v>
      </c>
      <c r="F41" s="3" t="s">
        <v>147</v>
      </c>
      <c r="G41" s="3" t="s">
        <v>147</v>
      </c>
      <c r="H41" s="3" t="s">
        <v>74</v>
      </c>
    </row>
    <row r="42" spans="1:8" ht="116.25" thickBot="1" x14ac:dyDescent="0.3">
      <c r="A42" s="3" t="s">
        <v>90</v>
      </c>
      <c r="B42" s="3" t="s">
        <v>111</v>
      </c>
      <c r="C42" s="3" t="s">
        <v>163</v>
      </c>
      <c r="D42" s="3" t="s">
        <v>156</v>
      </c>
      <c r="E42" s="3" t="s">
        <v>147</v>
      </c>
      <c r="F42" s="3" t="s">
        <v>147</v>
      </c>
      <c r="G42" s="3" t="s">
        <v>147</v>
      </c>
      <c r="H42" s="3" t="s">
        <v>74</v>
      </c>
    </row>
    <row r="43" spans="1:8" ht="165.75" thickBot="1" x14ac:dyDescent="0.3">
      <c r="A43" s="3" t="s">
        <v>90</v>
      </c>
      <c r="B43" s="3" t="s">
        <v>112</v>
      </c>
      <c r="C43" s="3" t="s">
        <v>164</v>
      </c>
      <c r="D43" s="3" t="s">
        <v>134</v>
      </c>
      <c r="E43" s="3" t="s">
        <v>147</v>
      </c>
      <c r="F43" s="3" t="s">
        <v>147</v>
      </c>
      <c r="G43" s="3" t="s">
        <v>147</v>
      </c>
      <c r="H43" s="3" t="s">
        <v>74</v>
      </c>
    </row>
  </sheetData>
  <autoFilter ref="A2:H25" xr:uid="{6C5488B7-4B15-436A-A0B6-865522FA0066}"/>
  <mergeCells count="14">
    <mergeCell ref="H2:H3"/>
    <mergeCell ref="A29:A30"/>
    <mergeCell ref="B29:B30"/>
    <mergeCell ref="C29:C30"/>
    <mergeCell ref="E29:E30"/>
    <mergeCell ref="F29:F30"/>
    <mergeCell ref="G29:G30"/>
    <mergeCell ref="H29:H30"/>
    <mergeCell ref="A2:A3"/>
    <mergeCell ref="B2:B3"/>
    <mergeCell ref="C2:C3"/>
    <mergeCell ref="E2:E3"/>
    <mergeCell ref="F2:F3"/>
    <mergeCell ref="G2:G3"/>
  </mergeCells>
  <hyperlinks>
    <hyperlink ref="C9" r:id="rId1" display="http://salesforce.com/" xr:uid="{0DF3A7E0-1824-41AE-A217-E69E6FE8A5BD}"/>
    <hyperlink ref="C22" r:id="rId2" display="https://confluence.am.tsacorp.com/pages/viewpage.action?pageId=353960112" xr:uid="{DBFCC979-9ABC-4F35-88AD-08F9F948BB28}"/>
    <hyperlink ref="C24" r:id="rId3" display="https://confluence.am.tsacorp.com/display/SVCS/%28Not+Needed%29+-+Duplicated+-+Project+Sign-off+Expectations" xr:uid="{3EB28A5F-D826-426B-B30E-13F296D54526}"/>
    <hyperlink ref="C38" r:id="rId4" display="https://wiki.aciworldwide.com/display/VTRT/SAFE+Process+Instructions" xr:uid="{5121D95B-3D2B-49CE-8A7F-95D1FDF68EAE}"/>
    <hyperlink ref="C43" r:id="rId5" display="https://confluence.am.tsacorp.com/display/SVCS/SAFE+Reference+Guideline" xr:uid="{598A6E20-B203-4DE9-9487-CE01FF18227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4E300-0130-49C2-9D3A-9068E463615D}">
  <dimension ref="I4:I21"/>
  <sheetViews>
    <sheetView workbookViewId="0">
      <selection activeCell="I5" sqref="I5"/>
    </sheetView>
  </sheetViews>
  <sheetFormatPr defaultRowHeight="15" x14ac:dyDescent="0.25"/>
  <sheetData>
    <row r="4" spans="9:9" ht="15.75" thickBot="1" x14ac:dyDescent="0.3"/>
    <row r="5" spans="9:9" x14ac:dyDescent="0.25">
      <c r="I5" s="31">
        <v>2</v>
      </c>
    </row>
    <row r="6" spans="9:9" x14ac:dyDescent="0.25">
      <c r="I6" s="32">
        <v>2</v>
      </c>
    </row>
    <row r="7" spans="9:9" x14ac:dyDescent="0.25">
      <c r="I7" s="32">
        <v>2</v>
      </c>
    </row>
    <row r="8" spans="9:9" x14ac:dyDescent="0.25">
      <c r="I8" s="32">
        <v>2</v>
      </c>
    </row>
    <row r="9" spans="9:9" x14ac:dyDescent="0.25">
      <c r="I9" s="32">
        <v>8</v>
      </c>
    </row>
    <row r="10" spans="9:9" x14ac:dyDescent="0.25">
      <c r="I10" s="32"/>
    </row>
    <row r="11" spans="9:9" x14ac:dyDescent="0.25">
      <c r="I11" s="32"/>
    </row>
    <row r="12" spans="9:9" x14ac:dyDescent="0.25">
      <c r="I12" s="32">
        <v>22</v>
      </c>
    </row>
    <row r="13" spans="9:9" x14ac:dyDescent="0.25">
      <c r="I13" s="32"/>
    </row>
    <row r="14" spans="9:9" x14ac:dyDescent="0.25">
      <c r="I14" s="32"/>
    </row>
    <row r="15" spans="9:9" x14ac:dyDescent="0.25">
      <c r="I15" s="32"/>
    </row>
    <row r="16" spans="9:9" x14ac:dyDescent="0.25">
      <c r="I16" s="32"/>
    </row>
    <row r="17" spans="9:9" x14ac:dyDescent="0.25">
      <c r="I17" s="32">
        <v>9</v>
      </c>
    </row>
    <row r="18" spans="9:9" x14ac:dyDescent="0.25">
      <c r="I18" s="32">
        <v>8</v>
      </c>
    </row>
    <row r="19" spans="9:9" x14ac:dyDescent="0.25">
      <c r="I19" s="32">
        <v>6</v>
      </c>
    </row>
    <row r="20" spans="9:9" x14ac:dyDescent="0.25">
      <c r="I20" s="32">
        <v>8</v>
      </c>
    </row>
    <row r="21" spans="9:9" x14ac:dyDescent="0.25">
      <c r="I21" s="33">
        <v>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943EA-DFDF-4E57-A6CA-8CB5D137977B}">
  <dimension ref="A1:E9"/>
  <sheetViews>
    <sheetView workbookViewId="0">
      <selection activeCell="E10" sqref="E10"/>
    </sheetView>
  </sheetViews>
  <sheetFormatPr defaultRowHeight="15" x14ac:dyDescent="0.25"/>
  <cols>
    <col min="1" max="1" width="12.85546875" customWidth="1"/>
    <col min="2" max="2" width="30.7109375" customWidth="1"/>
  </cols>
  <sheetData>
    <row r="1" spans="1:5" x14ac:dyDescent="0.25">
      <c r="A1" t="s">
        <v>57</v>
      </c>
      <c r="B1" t="s">
        <v>4</v>
      </c>
      <c r="D1" t="s">
        <v>165</v>
      </c>
      <c r="E1" t="s">
        <v>166</v>
      </c>
    </row>
    <row r="2" spans="1:5" x14ac:dyDescent="0.25">
      <c r="B2" t="s">
        <v>167</v>
      </c>
      <c r="E2" t="s">
        <v>168</v>
      </c>
    </row>
    <row r="3" spans="1:5" x14ac:dyDescent="0.25">
      <c r="B3" t="s">
        <v>169</v>
      </c>
      <c r="E3" t="s">
        <v>170</v>
      </c>
    </row>
    <row r="4" spans="1:5" x14ac:dyDescent="0.25">
      <c r="B4" t="s">
        <v>171</v>
      </c>
      <c r="E4" t="s">
        <v>12</v>
      </c>
    </row>
    <row r="5" spans="1:5" x14ac:dyDescent="0.25">
      <c r="B5" t="s">
        <v>172</v>
      </c>
      <c r="E5" t="s">
        <v>173</v>
      </c>
    </row>
    <row r="6" spans="1:5" x14ac:dyDescent="0.25">
      <c r="B6" t="s">
        <v>174</v>
      </c>
      <c r="E6" t="s">
        <v>175</v>
      </c>
    </row>
    <row r="7" spans="1:5" x14ac:dyDescent="0.25">
      <c r="E7" t="s">
        <v>176</v>
      </c>
    </row>
    <row r="8" spans="1:5" x14ac:dyDescent="0.25">
      <c r="E8" t="s">
        <v>177</v>
      </c>
    </row>
    <row r="9" spans="1:5" x14ac:dyDescent="0.25">
      <c r="E9" t="s">
        <v>178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7BD4A244E7E1349BB2FB8B4AC847766" ma:contentTypeVersion="16" ma:contentTypeDescription="Create a new document." ma:contentTypeScope="" ma:versionID="394f86f7e6d3661f9d0a0539931322cd">
  <xsd:schema xmlns:xsd="http://www.w3.org/2001/XMLSchema" xmlns:xs="http://www.w3.org/2001/XMLSchema" xmlns:p="http://schemas.microsoft.com/office/2006/metadata/properties" xmlns:ns1="http://schemas.microsoft.com/sharepoint/v3" xmlns:ns2="5bc1d990-f04d-4ece-99a1-d7234ffdc193" xmlns:ns3="db5b677e-75e2-43d4-9147-3659bbf88f30" targetNamespace="http://schemas.microsoft.com/office/2006/metadata/properties" ma:root="true" ma:fieldsID="bf7e88f1b087a2754d12103326c6df8c" ns1:_="" ns2:_="" ns3:_="">
    <xsd:import namespace="http://schemas.microsoft.com/sharepoint/v3"/>
    <xsd:import namespace="5bc1d990-f04d-4ece-99a1-d7234ffdc193"/>
    <xsd:import namespace="db5b677e-75e2-43d4-9147-3659bbf88f30"/>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EventHashCode" minOccurs="0"/>
                <xsd:element ref="ns2:MediaServiceGenerationTime" minOccurs="0"/>
                <xsd:element ref="ns2:MediaServiceDateTaken" minOccurs="0"/>
                <xsd:element ref="ns2:MediaServiceAutoTags" minOccurs="0"/>
                <xsd:element ref="ns2:MediaServiceOCR" minOccurs="0"/>
                <xsd:element ref="ns2:MediaServiceAutoKeyPoints" minOccurs="0"/>
                <xsd:element ref="ns2:MediaServiceKeyPoints" minOccurs="0"/>
                <xsd:element ref="ns1:_ip_UnifiedCompliancePolicyProperties" minOccurs="0"/>
                <xsd:element ref="ns1:_ip_UnifiedCompliancePolicyUIAction"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9" nillable="true" ma:displayName="Unified Compliance Policy Properties" ma:hidden="true" ma:internalName="_ip_UnifiedCompliancePolicyProperties">
      <xsd:simpleType>
        <xsd:restriction base="dms:Note"/>
      </xsd:simpleType>
    </xsd:element>
    <xsd:element name="_ip_UnifiedCompliancePolicyUIAction" ma:index="2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bc1d990-f04d-4ece-99a1-d7234ffdc19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21" nillable="true" ma:displayName="MediaLengthInSeconds" ma:hidden="true" ma:internalName="MediaLengthInSeconds" ma:readOnly="true">
      <xsd:simpleType>
        <xsd:restriction base="dms:Unknown"/>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b5b677e-75e2-43d4-9147-3659bbf88f3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53B26FB-D386-4AAB-B16C-9FA8C5C491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bc1d990-f04d-4ece-99a1-d7234ffdc193"/>
    <ds:schemaRef ds:uri="db5b677e-75e2-43d4-9147-3659bbf88f3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E052039-99E9-47C5-95D0-FFA3929BE4DA}">
  <ds:schemaRefs>
    <ds:schemaRef ds:uri="http://schemas.microsoft.com/office/2006/metadata/properties"/>
    <ds:schemaRef ds:uri="http://schemas.microsoft.com/office/infopath/2007/PartnerControls"/>
    <ds:schemaRef ds:uri="http://schemas.microsoft.com/sharepoint/v3"/>
  </ds:schemaRefs>
</ds:datastoreItem>
</file>

<file path=customXml/itemProps3.xml><?xml version="1.0" encoding="utf-8"?>
<ds:datastoreItem xmlns:ds="http://schemas.openxmlformats.org/officeDocument/2006/customXml" ds:itemID="{3DE0BC8F-262E-48DB-A124-CF5F16729A12}">
  <ds:schemaRefs>
    <ds:schemaRef ds:uri="http://schemas.microsoft.com/sharepoint/v3/contenttype/forms"/>
  </ds:schemaRefs>
</ds:datastoreItem>
</file>

<file path=docMetadata/LabelInfo.xml><?xml version="1.0" encoding="utf-8"?>
<clbl:labelList xmlns:clbl="http://schemas.microsoft.com/office/2020/mipLabelMetadata">
  <clbl:label id="{d1b7f118-5cb2-4d4e-85a3-82e07efb07e9}" enabled="0" method="" siteId="{d1b7f118-5cb2-4d4e-85a3-82e07efb07e9}"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Project Info</vt:lpstr>
      <vt:lpstr>JIRA Data</vt:lpstr>
      <vt:lpstr>Deliverable Review</vt:lpstr>
      <vt:lpstr>Deliverable Matrix</vt:lpstr>
      <vt:lpstr>Sheet1</vt:lpstr>
      <vt:lpstr>Sheet4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Woosley, Erin</dc:creator>
  <cp:keywords/>
  <dc:description/>
  <cp:lastModifiedBy>Herrera, Oscar</cp:lastModifiedBy>
  <cp:revision/>
  <dcterms:created xsi:type="dcterms:W3CDTF">2024-12-31T14:50:04Z</dcterms:created>
  <dcterms:modified xsi:type="dcterms:W3CDTF">2025-06-03T18:05:39Z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0x01010007BD4A244E7E1349BB2FB8B4AC847766</vt:lpwstr>
  </property>
</Properties>
</file>